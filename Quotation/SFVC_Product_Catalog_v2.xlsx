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Product Manager" sheetId="1" state="visible" r:id="rId1"/>
    <sheet name="📊 Price Summary" sheetId="2" state="visible" r:id="rId2"/>
    <sheet name="ℹ️ How to Use" sheetId="3" state="visible" r:id="rId3"/>
    <sheet name="Gate Valves" sheetId="4" state="visible" r:id="rId4"/>
    <sheet name="Globe Valves" sheetId="5" state="visible" r:id="rId5"/>
    <sheet name="Control Valves" sheetId="6" state="visible" r:id="rId6"/>
    <sheet name="Strainers" sheetId="7" state="visible" r:id="rId7"/>
    <sheet name="Check Valves" sheetId="8" state="visible" r:id="rId8"/>
    <sheet name="Safety Valves" sheetId="9" state="visible" r:id="rId9"/>
    <sheet name="Ball Valves" sheetId="10" state="visible" r:id="rId10"/>
    <sheet name="Piston Valves" sheetId="11" state="visible" r:id="rId11"/>
    <sheet name="Butterfly Valves" sheetId="12" state="visible" r:id="rId12"/>
  </sheets>
  <definedNames>
    <definedName name="_xlnm.Print_Titles" localSheetId="0">'📋 Product Manager'!$1:$7</definedName>
    <definedName name="_xlnm.Print_Titles" localSheetId="1">'📊 Price Summary'!$1:$4</definedName>
    <definedName name="_xlnm.Print_Titles" localSheetId="3">'Gate Valves'!$1:$4</definedName>
    <definedName name="_xlnm.Print_Titles" localSheetId="4">'Globe Valves'!$1:$4</definedName>
    <definedName name="_xlnm.Print_Titles" localSheetId="5">'Control Valves'!$1:$4</definedName>
    <definedName name="_xlnm.Print_Titles" localSheetId="6">'Strainers'!$1:$4</definedName>
    <definedName name="_xlnm.Print_Titles" localSheetId="7">'Check Valves'!$1:$4</definedName>
    <definedName name="_xlnm.Print_Titles" localSheetId="8">'Safety Valves'!$1:$4</definedName>
    <definedName name="_xlnm.Print_Titles" localSheetId="9">'Ball Valves'!$1:$4</definedName>
    <definedName name="_xlnm.Print_Titles" localSheetId="10">'Piston Valves'!$1:$4</definedName>
    <definedName name="_xlnm.Print_Titles" localSheetId="11">'Butterfly Valves'!$1:$4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₹\ #,##0"/>
    <numFmt numFmtId="165" formatCode="₹\ #,##0;₹\ #,##0;&quot;On Request&quot;"/>
  </numFmts>
  <fonts count="43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i val="1"/>
      <color rgb="FFB0C4DE"/>
      <sz val="8"/>
    </font>
    <font>
      <name val="Arial"/>
      <b val="1"/>
      <color rgb="FF1B7A1B"/>
      <sz val="8"/>
    </font>
    <font>
      <name val="Arial"/>
      <color rgb="FF333333"/>
      <sz val="8"/>
    </font>
    <font>
      <name val="Arial"/>
      <b val="1"/>
      <color rgb="FF8B4000"/>
      <sz val="8"/>
    </font>
    <font>
      <name val="Arial"/>
      <b val="1"/>
      <color rgb="FFCC2929"/>
      <sz val="8"/>
    </font>
    <font>
      <name val="Arial"/>
      <b val="1"/>
      <color rgb="FF7B4FA6"/>
      <sz val="8"/>
    </font>
    <font>
      <name val="Arial"/>
      <b val="1"/>
      <color rgb="FFFFFFFF"/>
      <sz val="9"/>
    </font>
    <font>
      <name val="Arial"/>
      <b val="1"/>
      <color rgb="002E7D32"/>
      <sz val="8"/>
    </font>
    <font>
      <name val="Arial"/>
      <sz val="8"/>
    </font>
    <font>
      <name val="Arial"/>
      <b val="1"/>
      <color rgb="FF1A3A5C"/>
      <sz val="9"/>
    </font>
    <font>
      <name val="Arial"/>
      <b val="1"/>
      <color rgb="FF000000"/>
      <sz val="9"/>
    </font>
    <font>
      <name val="Arial"/>
      <b val="1"/>
      <color rgb="007B4FA6"/>
      <sz val="9"/>
    </font>
    <font>
      <name val="Arial"/>
      <b val="1"/>
      <color rgb="006A1B9A"/>
      <sz val="8"/>
    </font>
    <font>
      <name val="Arial"/>
      <b val="1"/>
      <color rgb="0000838F"/>
      <sz val="8"/>
    </font>
    <font>
      <name val="Arial"/>
      <b val="1"/>
      <color rgb="004527A0"/>
      <sz val="8"/>
    </font>
    <font>
      <name val="Arial"/>
      <b val="1"/>
      <color rgb="00E65100"/>
      <sz val="8"/>
    </font>
    <font>
      <name val="Arial"/>
      <b val="1"/>
      <color rgb="00AD1457"/>
      <sz val="8"/>
    </font>
    <font>
      <name val="Arial"/>
      <b val="1"/>
      <color rgb="001565C0"/>
      <sz val="8"/>
    </font>
    <font>
      <name val="Arial"/>
      <b val="1"/>
      <color rgb="0000695C"/>
      <sz val="8"/>
    </font>
    <font>
      <name val="Arial"/>
      <b val="1"/>
      <color rgb="00C62828"/>
      <sz val="8"/>
    </font>
    <font>
      <name val="Arial"/>
      <b val="1"/>
      <color rgb="002E7D32"/>
      <sz val="9"/>
    </font>
    <font>
      <name val="Arial"/>
      <sz val="9"/>
    </font>
    <font>
      <name val="Arial"/>
      <color rgb="FF1B7A1B"/>
      <sz val="9"/>
    </font>
    <font>
      <name val="Arial"/>
      <b val="1"/>
      <sz val="9"/>
    </font>
    <font>
      <name val="Arial"/>
      <color rgb="007B4FA6"/>
      <sz val="9"/>
    </font>
    <font>
      <name val="Arial"/>
      <b val="1"/>
      <sz val="8"/>
    </font>
    <font>
      <name val="Arial"/>
      <color rgb="FF1565C0"/>
      <sz val="9"/>
      <u val="single"/>
    </font>
    <font>
      <name val="Arial"/>
      <b val="1"/>
      <color rgb="006A1B9A"/>
      <sz val="9"/>
    </font>
    <font>
      <name val="Arial"/>
      <b val="1"/>
      <color rgb="0000838F"/>
      <sz val="9"/>
    </font>
    <font>
      <name val="Arial"/>
      <b val="1"/>
      <color rgb="004527A0"/>
      <sz val="9"/>
    </font>
    <font>
      <name val="Arial"/>
      <b val="1"/>
      <color rgb="00E65100"/>
      <sz val="9"/>
    </font>
    <font>
      <name val="Arial"/>
      <b val="1"/>
      <color rgb="00AD1457"/>
      <sz val="9"/>
    </font>
    <font>
      <name val="Arial"/>
      <b val="1"/>
      <color rgb="001565C0"/>
      <sz val="9"/>
    </font>
    <font>
      <name val="Arial"/>
      <b val="1"/>
      <color rgb="0000695C"/>
      <sz val="9"/>
    </font>
    <font>
      <name val="Arial"/>
      <b val="1"/>
      <color rgb="00C62828"/>
      <sz val="9"/>
    </font>
    <font>
      <name val="Arial"/>
      <i val="1"/>
      <color rgb="FFFFD080"/>
      <sz val="8"/>
    </font>
    <font>
      <name val="Arial"/>
      <b val="1"/>
      <color rgb="FFFFFFFF"/>
      <sz val="8"/>
    </font>
    <font>
      <name val="Arial"/>
      <i val="1"/>
      <color rgb="FF3C5C7A"/>
      <sz val="8"/>
    </font>
    <font>
      <name val="Arial"/>
      <color rgb="FF555555"/>
      <sz val="8"/>
    </font>
    <font>
      <name val="Arial"/>
      <i val="1"/>
      <color rgb="FF666666"/>
      <sz val="8"/>
    </font>
    <font>
      <name val="Arial"/>
      <b val="1"/>
      <color rgb="FFFFFFFF"/>
      <sz val="12"/>
    </font>
  </fonts>
  <fills count="23">
    <fill>
      <patternFill/>
    </fill>
    <fill>
      <patternFill patternType="gray125"/>
    </fill>
    <fill>
      <patternFill patternType="solid">
        <fgColor rgb="FF1A3A5C"/>
      </patternFill>
    </fill>
    <fill>
      <patternFill patternType="solid">
        <fgColor rgb="FF0D2137"/>
      </patternFill>
    </fill>
    <fill>
      <patternFill patternType="solid">
        <fgColor rgb="FFEBF9EB"/>
      </patternFill>
    </fill>
    <fill>
      <patternFill patternType="solid">
        <fgColor rgb="FFFFF8E8"/>
      </patternFill>
    </fill>
    <fill>
      <patternFill patternType="solid">
        <fgColor rgb="FFFDE8E8"/>
      </patternFill>
    </fill>
    <fill>
      <patternFill patternType="solid">
        <fgColor rgb="FFF3ECFA"/>
      </patternFill>
    </fill>
    <fill>
      <patternFill patternType="solid">
        <fgColor rgb="FFFFFFFF"/>
      </patternFill>
    </fill>
    <fill>
      <patternFill patternType="solid">
        <fgColor rgb="FFFEF3D0"/>
      </patternFill>
    </fill>
    <fill>
      <patternFill patternType="solid">
        <fgColor rgb="FFF5F5F5"/>
      </patternFill>
    </fill>
    <fill>
      <patternFill patternType="solid">
        <fgColor rgb="002E7D32"/>
      </patternFill>
    </fill>
    <fill>
      <patternFill patternType="solid">
        <fgColor rgb="FFD0E4F5"/>
      </patternFill>
    </fill>
    <fill>
      <patternFill patternType="solid">
        <fgColor rgb="FF2B5F8C"/>
      </patternFill>
    </fill>
    <fill>
      <patternFill patternType="solid">
        <fgColor rgb="006A1B9A"/>
      </patternFill>
    </fill>
    <fill>
      <patternFill patternType="solid">
        <fgColor rgb="0000838F"/>
      </patternFill>
    </fill>
    <fill>
      <patternFill patternType="solid">
        <fgColor rgb="004527A0"/>
      </patternFill>
    </fill>
    <fill>
      <patternFill patternType="solid">
        <fgColor rgb="00E65100"/>
      </patternFill>
    </fill>
    <fill>
      <patternFill patternType="solid">
        <fgColor rgb="00AD1457"/>
      </patternFill>
    </fill>
    <fill>
      <patternFill patternType="solid">
        <fgColor rgb="001565C0"/>
      </patternFill>
    </fill>
    <fill>
      <patternFill patternType="solid">
        <fgColor rgb="0000695C"/>
      </patternFill>
    </fill>
    <fill>
      <patternFill patternType="solid">
        <fgColor rgb="00C62828"/>
      </patternFill>
    </fill>
    <fill>
      <patternFill patternType="solid">
        <fgColor rgb="FF2E6B9E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right" vertical="center"/>
    </xf>
    <xf numFmtId="0" fontId="9" fillId="10" borderId="1" applyAlignment="1" pivotButton="0" quotePrefix="0" xfId="0">
      <alignment horizontal="left" vertical="center"/>
    </xf>
    <xf numFmtId="0" fontId="10" fillId="10" borderId="1" applyAlignment="1" pivotButton="0" quotePrefix="0" xfId="0">
      <alignment horizontal="left" vertical="center" wrapText="1"/>
    </xf>
    <xf numFmtId="0" fontId="11" fillId="10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right" vertical="center"/>
    </xf>
    <xf numFmtId="0" fontId="14" fillId="10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5" fillId="10" borderId="1" applyAlignment="1" pivotButton="0" quotePrefix="0" xfId="0">
      <alignment horizontal="left" vertical="center"/>
    </xf>
    <xf numFmtId="0" fontId="15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left" vertical="center"/>
    </xf>
    <xf numFmtId="0" fontId="16" fillId="10" borderId="1" applyAlignment="1" pivotButton="0" quotePrefix="0" xfId="0">
      <alignment horizontal="left" vertical="center"/>
    </xf>
    <xf numFmtId="0" fontId="17" fillId="8" borderId="1" applyAlignment="1" pivotButton="0" quotePrefix="0" xfId="0">
      <alignment horizontal="left" vertical="center"/>
    </xf>
    <xf numFmtId="0" fontId="17" fillId="10" borderId="1" applyAlignment="1" pivotButton="0" quotePrefix="0" xfId="0">
      <alignment horizontal="left" vertical="center"/>
    </xf>
    <xf numFmtId="0" fontId="18" fillId="8" borderId="1" applyAlignment="1" pivotButton="0" quotePrefix="0" xfId="0">
      <alignment horizontal="left" vertical="center"/>
    </xf>
    <xf numFmtId="0" fontId="18" fillId="10" borderId="1" applyAlignment="1" pivotButton="0" quotePrefix="0" xfId="0">
      <alignment horizontal="left" vertical="center"/>
    </xf>
    <xf numFmtId="0" fontId="19" fillId="10" borderId="1" applyAlignment="1" pivotButton="0" quotePrefix="0" xfId="0">
      <alignment horizontal="left" vertical="center"/>
    </xf>
    <xf numFmtId="0" fontId="19" fillId="8" borderId="1" applyAlignment="1" pivotButton="0" quotePrefix="0" xfId="0">
      <alignment horizontal="left" vertical="center"/>
    </xf>
    <xf numFmtId="0" fontId="20" fillId="8" borderId="1" applyAlignment="1" pivotButton="0" quotePrefix="0" xfId="0">
      <alignment horizontal="left" vertical="center"/>
    </xf>
    <xf numFmtId="0" fontId="20" fillId="10" borderId="1" applyAlignment="1" pivotButton="0" quotePrefix="0" xfId="0">
      <alignment horizontal="left" vertical="center"/>
    </xf>
    <xf numFmtId="0" fontId="21" fillId="10" borderId="1" applyAlignment="1" pivotButton="0" quotePrefix="0" xfId="0">
      <alignment horizontal="left" vertical="center"/>
    </xf>
    <xf numFmtId="0" fontId="21" fillId="8" borderId="1" applyAlignment="1" pivotButton="0" quotePrefix="0" xfId="0">
      <alignment horizontal="left" vertical="center"/>
    </xf>
    <xf numFmtId="0" fontId="22" fillId="8" borderId="1" applyAlignment="1" pivotButton="0" quotePrefix="0" xfId="0">
      <alignment horizontal="left" vertical="center"/>
    </xf>
    <xf numFmtId="0" fontId="23" fillId="8" borderId="1" applyAlignment="1" pivotButton="0" quotePrefix="0" xfId="0">
      <alignment horizontal="center" vertical="center"/>
    </xf>
    <xf numFmtId="0" fontId="24" fillId="4" borderId="1" applyAlignment="1" pivotButton="0" quotePrefix="0" xfId="0">
      <alignment horizontal="center" vertical="center"/>
    </xf>
    <xf numFmtId="164" fontId="23" fillId="9" borderId="1" applyAlignment="1" pivotButton="0" quotePrefix="0" xfId="0">
      <alignment horizontal="right" vertical="center"/>
    </xf>
    <xf numFmtId="164" fontId="25" fillId="9" borderId="1" applyAlignment="1" pivotButton="0" quotePrefix="0" xfId="0">
      <alignment horizontal="right" vertical="center"/>
    </xf>
    <xf numFmtId="0" fontId="26" fillId="7" borderId="1" applyAlignment="1" pivotButton="0" quotePrefix="0" xfId="0">
      <alignment horizontal="center" vertical="center"/>
    </xf>
    <xf numFmtId="0" fontId="27" fillId="8" borderId="1" applyAlignment="1" pivotButton="0" quotePrefix="0" xfId="0">
      <alignment horizontal="center" vertical="center"/>
    </xf>
    <xf numFmtId="0" fontId="28" fillId="8" borderId="1" applyAlignment="1" pivotButton="0" quotePrefix="0" xfId="0">
      <alignment horizontal="center" vertical="center"/>
    </xf>
    <xf numFmtId="0" fontId="29" fillId="10" borderId="1" applyAlignment="1" pivotButton="0" quotePrefix="0" xfId="0">
      <alignment horizontal="left" vertical="center"/>
    </xf>
    <xf numFmtId="0" fontId="23" fillId="10" borderId="1" applyAlignment="1" pivotButton="0" quotePrefix="0" xfId="0">
      <alignment horizontal="center" vertical="center"/>
    </xf>
    <xf numFmtId="0" fontId="27" fillId="10" borderId="1" applyAlignment="1" pivotButton="0" quotePrefix="0" xfId="0">
      <alignment horizontal="center" vertical="center"/>
    </xf>
    <xf numFmtId="0" fontId="28" fillId="10" borderId="1" applyAlignment="1" pivotButton="0" quotePrefix="0" xfId="0">
      <alignment horizontal="center" vertical="center"/>
    </xf>
    <xf numFmtId="0" fontId="30" fillId="8" borderId="1" applyAlignment="1" pivotButton="0" quotePrefix="0" xfId="0">
      <alignment horizontal="left" vertical="center"/>
    </xf>
    <xf numFmtId="0" fontId="31" fillId="10" borderId="1" applyAlignment="1" pivotButton="0" quotePrefix="0" xfId="0">
      <alignment horizontal="left" vertical="center"/>
    </xf>
    <xf numFmtId="0" fontId="32" fillId="8" borderId="1" applyAlignment="1" pivotButton="0" quotePrefix="0" xfId="0">
      <alignment horizontal="left" vertical="center"/>
    </xf>
    <xf numFmtId="0" fontId="33" fillId="10" borderId="1" applyAlignment="1" pivotButton="0" quotePrefix="0" xfId="0">
      <alignment horizontal="left" vertical="center"/>
    </xf>
    <xf numFmtId="0" fontId="34" fillId="8" borderId="1" applyAlignment="1" pivotButton="0" quotePrefix="0" xfId="0">
      <alignment horizontal="left" vertical="center"/>
    </xf>
    <xf numFmtId="0" fontId="35" fillId="10" borderId="1" applyAlignment="1" pivotButton="0" quotePrefix="0" xfId="0">
      <alignment horizontal="left" vertical="center"/>
    </xf>
    <xf numFmtId="0" fontId="36" fillId="8" borderId="1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164" fontId="8" fillId="2" borderId="1" applyAlignment="1" pivotButton="0" quotePrefix="0" xfId="0">
      <alignment horizontal="right" vertical="center"/>
    </xf>
    <xf numFmtId="164" fontId="8" fillId="2" borderId="1" applyAlignment="1" pivotButton="0" quotePrefix="0" xfId="0">
      <alignment horizontal="center" vertical="center"/>
    </xf>
    <xf numFmtId="0" fontId="42" fillId="2" borderId="0" applyAlignment="1" pivotButton="0" quotePrefix="0" xfId="0">
      <alignment horizontal="center" vertical="center"/>
    </xf>
    <xf numFmtId="0" fontId="8" fillId="22" borderId="1" applyAlignment="1" pivotButton="0" quotePrefix="0" xfId="0">
      <alignment horizontal="left" vertical="center"/>
    </xf>
    <xf numFmtId="0" fontId="11" fillId="12" borderId="1" applyAlignment="1" pivotButton="0" quotePrefix="0" xfId="0">
      <alignment horizontal="left" vertical="center"/>
    </xf>
    <xf numFmtId="0" fontId="10" fillId="0" borderId="1" applyAlignment="1" pivotButton="0" quotePrefix="0" xfId="0">
      <alignment horizontal="left" vertical="center" wrapText="1"/>
    </xf>
    <xf numFmtId="0" fontId="37" fillId="3" borderId="0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 wrapText="1"/>
    </xf>
    <xf numFmtId="0" fontId="38" fillId="2" borderId="1" applyAlignment="1" pivotButton="0" quotePrefix="0" xfId="0">
      <alignment horizontal="left" vertical="center" wrapText="1"/>
    </xf>
    <xf numFmtId="0" fontId="39" fillId="12" borderId="1" applyAlignment="1" pivotButton="0" quotePrefix="0" xfId="0">
      <alignment horizontal="left" vertical="center"/>
    </xf>
    <xf numFmtId="0" fontId="38" fillId="13" borderId="1" applyAlignment="1" pivotButton="0" quotePrefix="0" xfId="0">
      <alignment horizontal="left" vertical="center"/>
    </xf>
    <xf numFmtId="0" fontId="4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 wrapText="1"/>
    </xf>
    <xf numFmtId="165" fontId="25" fillId="9" borderId="1" applyAlignment="1" pivotButton="0" quotePrefix="0" xfId="0">
      <alignment horizontal="right" vertical="center"/>
    </xf>
    <xf numFmtId="0" fontId="41" fillId="8" borderId="1" applyAlignment="1" pivotButton="0" quotePrefix="0" xfId="0">
      <alignment horizontal="left" vertical="center" wrapText="1"/>
    </xf>
    <xf numFmtId="0" fontId="4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 wrapText="1"/>
    </xf>
    <xf numFmtId="0" fontId="41" fillId="10" borderId="1" applyAlignment="1" pivotButton="0" quotePrefix="0" xfId="0">
      <alignment horizontal="left" vertical="center" wrapText="1"/>
    </xf>
    <xf numFmtId="0" fontId="28" fillId="0" borderId="0" applyAlignment="1" pivotButton="0" quotePrefix="0" xfId="0">
      <alignment horizontal="left" vertical="center"/>
    </xf>
    <xf numFmtId="0" fontId="8" fillId="14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center" vertical="center" wrapText="1"/>
    </xf>
    <xf numFmtId="0" fontId="8" fillId="16" borderId="1" applyAlignment="1" pivotButton="0" quotePrefix="0" xfId="0">
      <alignment horizontal="center" vertical="center" wrapText="1"/>
    </xf>
    <xf numFmtId="0" fontId="8" fillId="17" borderId="1" applyAlignment="1" pivotButton="0" quotePrefix="0" xfId="0">
      <alignment horizontal="center" vertical="center" wrapText="1"/>
    </xf>
    <xf numFmtId="0" fontId="8" fillId="18" borderId="1" applyAlignment="1" pivotButton="0" quotePrefix="0" xfId="0">
      <alignment horizontal="center" vertical="center" wrapText="1"/>
    </xf>
    <xf numFmtId="0" fontId="8" fillId="19" borderId="1" applyAlignment="1" pivotButton="0" quotePrefix="0" xfId="0">
      <alignment horizontal="center" vertical="center" wrapText="1"/>
    </xf>
    <xf numFmtId="0" fontId="8" fillId="20" borderId="1" applyAlignment="1" pivotButton="0" quotePrefix="0" xfId="0">
      <alignment horizontal="center" vertical="center" wrapText="1"/>
    </xf>
    <xf numFmtId="0" fontId="8" fillId="2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Gate Valves!A1" TargetMode="External" Id="rId1" /><Relationship Type="http://schemas.openxmlformats.org/officeDocument/2006/relationships/hyperlink" Target="#Globe Valves!A1" TargetMode="External" Id="rId2" /><Relationship Type="http://schemas.openxmlformats.org/officeDocument/2006/relationships/hyperlink" Target="#Control Valves!A1" TargetMode="External" Id="rId3" /><Relationship Type="http://schemas.openxmlformats.org/officeDocument/2006/relationships/hyperlink" Target="#Strainers!A1" TargetMode="External" Id="rId4" /><Relationship Type="http://schemas.openxmlformats.org/officeDocument/2006/relationships/hyperlink" Target="#Check Valves!A1" TargetMode="External" Id="rId5" /><Relationship Type="http://schemas.openxmlformats.org/officeDocument/2006/relationships/hyperlink" Target="#Safety Valves!A1" TargetMode="External" Id="rId6" /><Relationship Type="http://schemas.openxmlformats.org/officeDocument/2006/relationships/hyperlink" Target="#Ball Valves!A1" TargetMode="External" Id="rId7" /><Relationship Type="http://schemas.openxmlformats.org/officeDocument/2006/relationships/hyperlink" Target="#Piston Valves!A1" TargetMode="External" Id="rId8" /><Relationship Type="http://schemas.openxmlformats.org/officeDocument/2006/relationships/hyperlink" Target="#Butterfly Valves!A1" TargetMode="External" Id="rId9" /></Relationships>
</file>

<file path=xl/worksheets/_rels/sheet4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5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6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7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8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9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10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11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_rels/sheet12.xml.rels><Relationships xmlns="http://schemas.openxmlformats.org/package/2006/relationships"><Relationship Type="http://schemas.openxmlformats.org/officeDocument/2006/relationships/hyperlink" Target="#'&#128203; Product Manager'!A1" TargetMode="External" Id="rId1" /><Relationship Type="http://schemas.openxmlformats.org/officeDocument/2006/relationships/hyperlink" Target="#'&#128202; Price Summary'!A1" TargetMode="External" Id="rId2" /></Relationships>
</file>

<file path=xl/worksheets/sheet1.xml><?xml version="1.0" encoding="utf-8"?>
<worksheet xmlns="http://schemas.openxmlformats.org/spreadsheetml/2006/main">
  <sheetPr>
    <tabColor rgb="001A3A5C"/>
    <outlinePr summaryBelow="1" summaryRight="1"/>
    <pageSetUpPr fitToPage="1"/>
  </sheetPr>
  <dimension ref="A1:N222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50" customWidth="1" min="3" max="3"/>
    <col width="34" customWidth="1" min="4" max="4"/>
    <col width="9" customWidth="1" min="5" max="5"/>
    <col width="14" customWidth="1" min="6" max="6"/>
    <col width="18" customWidth="1" min="7" max="7"/>
    <col width="32" customWidth="1" min="8" max="8"/>
    <col width="22" customWidth="1" min="9" max="9"/>
    <col width="7" customWidth="1" min="10" max="10"/>
    <col width="13" customWidth="1" min="11" max="11"/>
    <col width="10" customWidth="1" min="12" max="12"/>
    <col width="14" customWidth="1" min="13" max="13"/>
    <col width="22" customWidth="1" min="14" max="14"/>
  </cols>
  <sheetData>
    <row r="1" ht="28" customHeight="1">
      <c r="A1" s="1" t="inlineStr">
        <is>
          <t>SUNFORD VALVES COMPANY — PRODUCT MANAGER  (Single Source of Truth)</t>
        </is>
      </c>
    </row>
    <row r="2" ht="14" customHeight="1">
      <c r="A2" s="2" t="inlineStr">
        <is>
          <t>Edit this table only. All type sheets and the price summary auto-refresh from here. Do NOT edit type sheets directly.</t>
        </is>
      </c>
    </row>
    <row r="3" ht="17" customHeight="1">
      <c r="A3" s="3" t="inlineStr">
        <is>
          <t>🟢 ADD NEW PRODUCT</t>
        </is>
      </c>
      <c r="C3" s="4" t="inlineStr">
        <is>
          <t>Scroll to the bottom of the table → type a new row. Fill Valve_Type, Valve_Name, MOC, Size, Rate, Status. The type sheet will auto-include it IF Valve_Type matches exactly.</t>
        </is>
      </c>
    </row>
    <row r="4" ht="17" customHeight="1">
      <c r="A4" s="5" t="inlineStr">
        <is>
          <t>✏️ EDIT PRICE / FIELD</t>
        </is>
      </c>
      <c r="C4" s="6" t="inlineStr">
        <is>
          <t>Click the cell directly. Change the value. Save (Ctrl+S). All linked sheets will recalculate on next open.</t>
        </is>
      </c>
    </row>
    <row r="5" ht="17" customHeight="1">
      <c r="A5" s="7" t="inlineStr">
        <is>
          <t>🔴 HIDE A PRODUCT</t>
        </is>
      </c>
      <c r="C5" s="8" t="inlineStr">
        <is>
          <t>Set Status column = Inactive. The product stays in data but is marked for the website to filter out.</t>
        </is>
      </c>
    </row>
    <row r="6" ht="17" customHeight="1">
      <c r="A6" s="9" t="inlineStr">
        <is>
          <t>🗑️ DELETE A PRODUCT</t>
        </is>
      </c>
      <c r="C6" s="10" t="inlineStr">
        <is>
          <t>Select the entire row → Right-click → Delete Row. All type sheet formulas will auto-adjust (they use row-specific references).</t>
        </is>
      </c>
    </row>
    <row r="7" ht="30" customHeight="1">
      <c r="A7" s="11" t="inlineStr">
        <is>
          <t>Valve_Type</t>
        </is>
      </c>
      <c r="B7" s="11" t="inlineStr">
        <is>
          <t>Valve_Name</t>
        </is>
      </c>
      <c r="C7" s="11" t="inlineStr">
        <is>
          <t>Description</t>
        </is>
      </c>
      <c r="D7" s="11" t="inlineStr">
        <is>
          <t>MOC</t>
        </is>
      </c>
      <c r="E7" s="11" t="inlineStr">
        <is>
          <t>Size</t>
        </is>
      </c>
      <c r="F7" s="11" t="inlineStr">
        <is>
          <t>Pressure_Class</t>
        </is>
      </c>
      <c r="G7" s="11" t="inlineStr">
        <is>
          <t>End_Connection</t>
        </is>
      </c>
      <c r="H7" s="11" t="inlineStr">
        <is>
          <t>Design_Standard</t>
        </is>
      </c>
      <c r="I7" s="11" t="inlineStr">
        <is>
          <t>Hydro_Test</t>
        </is>
      </c>
      <c r="J7" s="11" t="inlineStr">
        <is>
          <t>Unit</t>
        </is>
      </c>
      <c r="K7" s="11" t="inlineStr">
        <is>
          <t>Rate_INR</t>
        </is>
      </c>
      <c r="L7" s="11" t="inlineStr">
        <is>
          <t>Status</t>
        </is>
      </c>
      <c r="M7" s="11" t="inlineStr">
        <is>
          <t>Last_Updated</t>
        </is>
      </c>
      <c r="N7" s="11" t="inlineStr">
        <is>
          <t>Remarks</t>
        </is>
      </c>
    </row>
    <row r="8" ht="15" customHeight="1">
      <c r="A8" s="12" t="inlineStr">
        <is>
          <t>Gate Valves</t>
        </is>
      </c>
      <c r="B8" s="13" t="inlineStr">
        <is>
          <t>Cast Carbon Steel (ASTM A216 Gr. WCB) Outside Screw &amp; Yoke Type Bolted Bonnet Non Rotating Rising Spindle Gate Valve, Flanged End, Hand Wheel Operated ASA 150#</t>
        </is>
      </c>
      <c r="C8" s="13" t="inlineStr">
        <is>
          <t>Design: API 600 | Body: ASTM A216 Gr WCB | Trims: 13% Cr SS410 (Trim-1) | F-F: ASME B16.10 | Pressure: ASME B16.34 | Test: API 598 | Hydro: Body 32, Seat 23 Kg/Cm2</t>
        </is>
      </c>
      <c r="D8" s="13" t="inlineStr">
        <is>
          <t>ASTM A216 Gr WCB + 13% Cr SS410</t>
        </is>
      </c>
      <c r="E8" s="14" t="inlineStr">
        <is>
          <t>1"</t>
        </is>
      </c>
      <c r="F8" s="13" t="inlineStr"/>
      <c r="G8" s="13" t="inlineStr"/>
      <c r="H8" s="13" t="inlineStr">
        <is>
          <t>API 600</t>
        </is>
      </c>
      <c r="I8" s="13" t="inlineStr">
        <is>
          <t>Body 32, Seat 23 Kg/Cm2</t>
        </is>
      </c>
      <c r="J8" s="13" t="inlineStr">
        <is>
          <t>Nos</t>
        </is>
      </c>
      <c r="K8" s="15" t="n">
        <v>5755</v>
      </c>
      <c r="L8" s="3" t="inlineStr">
        <is>
          <t>Active</t>
        </is>
      </c>
      <c r="M8" s="13" t="inlineStr"/>
      <c r="N8" s="13" t="inlineStr"/>
    </row>
    <row r="9" ht="15" customHeight="1">
      <c r="A9" s="16" t="inlineStr">
        <is>
          <t>Gate Valves</t>
        </is>
      </c>
      <c r="B9" s="17" t="inlineStr">
        <is>
          <t>Cast Carbon Steel (ASTM A216 Gr. WCB) Outside Screw &amp; Yoke Type Bolted Bonnet Non Rotating Rising Spindle Gate Valve, Flanged End, Hand Wheel Operated ASA 150#</t>
        </is>
      </c>
      <c r="C9" s="17" t="inlineStr">
        <is>
          <t>Design: API 600 | Body: ASTM A216 Gr WCB | Trims: 13% Cr SS410 (Trim-1) | F-F: ASME B16.10 | Pressure: ASME B16.34 | Test: API 598 | Hydro: Body 32, Seat 23 Kg/Cm2</t>
        </is>
      </c>
      <c r="D9" s="17" t="inlineStr">
        <is>
          <t>ASTM A216 Gr WCB + 13% Cr SS410</t>
        </is>
      </c>
      <c r="E9" s="18" t="inlineStr">
        <is>
          <t>1.5"</t>
        </is>
      </c>
      <c r="F9" s="17" t="inlineStr"/>
      <c r="G9" s="17" t="inlineStr"/>
      <c r="H9" s="17" t="inlineStr">
        <is>
          <t>API 600</t>
        </is>
      </c>
      <c r="I9" s="17" t="inlineStr">
        <is>
          <t>Body 32, Seat 23 Kg/Cm2</t>
        </is>
      </c>
      <c r="J9" s="17" t="inlineStr">
        <is>
          <t>Nos</t>
        </is>
      </c>
      <c r="K9" s="15" t="n">
        <v>8855</v>
      </c>
      <c r="L9" s="3" t="inlineStr">
        <is>
          <t>Active</t>
        </is>
      </c>
      <c r="M9" s="17" t="inlineStr"/>
      <c r="N9" s="17" t="inlineStr"/>
    </row>
    <row r="10" ht="15" customHeight="1">
      <c r="A10" s="12" t="inlineStr">
        <is>
          <t>Gate Valves</t>
        </is>
      </c>
      <c r="B10" s="13" t="inlineStr">
        <is>
          <t>Cast Carbon Steel (ASTM A216 Gr. WCB) Outside Screw &amp; Yoke Type Bolted Bonnet Non Rotating Rising Spindle Gate Valve, Flanged End, Hand Wheel Operated ASA 150#</t>
        </is>
      </c>
      <c r="C10" s="13" t="inlineStr">
        <is>
          <t>Design: API 600 | Body: ASTM A216 Gr WCB | Trims: 13% Cr SS410 (Trim-1) | F-F: ASME B16.10 | Pressure: ASME B16.34 | Test: API 598 | Hydro: Body 32, Seat 23 Kg/Cm2</t>
        </is>
      </c>
      <c r="D10" s="13" t="inlineStr">
        <is>
          <t>ASTM A216 Gr WCB + 13% Cr SS410</t>
        </is>
      </c>
      <c r="E10" s="14" t="inlineStr">
        <is>
          <t>2"</t>
        </is>
      </c>
      <c r="F10" s="13" t="inlineStr"/>
      <c r="G10" s="13" t="inlineStr"/>
      <c r="H10" s="13" t="inlineStr">
        <is>
          <t>API 600</t>
        </is>
      </c>
      <c r="I10" s="13" t="inlineStr">
        <is>
          <t>Body 32, Seat 23 Kg/Cm2</t>
        </is>
      </c>
      <c r="J10" s="13" t="inlineStr">
        <is>
          <t>Nos</t>
        </is>
      </c>
      <c r="K10" s="15" t="n">
        <v>11355</v>
      </c>
      <c r="L10" s="3" t="inlineStr">
        <is>
          <t>Active</t>
        </is>
      </c>
      <c r="M10" s="13" t="inlineStr"/>
      <c r="N10" s="13" t="inlineStr"/>
    </row>
    <row r="11" ht="15" customHeight="1">
      <c r="A11" s="16" t="inlineStr">
        <is>
          <t>Gate Valves</t>
        </is>
      </c>
      <c r="B11" s="17" t="inlineStr">
        <is>
          <t>Cast Carbon Steel (ASTM A216 Gr. WCB) Outside Screw &amp; Yoke Type Bolted Bonnet Non Rotating Rising Spindle Gate Valve, Flanged End, Hand Wheel Operated ASA 150#</t>
        </is>
      </c>
      <c r="C11" s="17" t="inlineStr">
        <is>
          <t>Design: API 600 | Body: ASTM A216 Gr WCB | Trims: 13% Cr SS410 (Trim-1) | F-F: ASME B16.10 | Pressure: ASME B16.34 | Test: API 598 | Hydro: Body 32, Seat 23 Kg/Cm2</t>
        </is>
      </c>
      <c r="D11" s="17" t="inlineStr">
        <is>
          <t>ASTM A216 Gr WCB + 13% Cr SS410</t>
        </is>
      </c>
      <c r="E11" s="18" t="inlineStr">
        <is>
          <t>2.5"</t>
        </is>
      </c>
      <c r="F11" s="17" t="inlineStr"/>
      <c r="G11" s="17" t="inlineStr"/>
      <c r="H11" s="17" t="inlineStr">
        <is>
          <t>API 600</t>
        </is>
      </c>
      <c r="I11" s="17" t="inlineStr">
        <is>
          <t>Body 32, Seat 23 Kg/Cm2</t>
        </is>
      </c>
      <c r="J11" s="17" t="inlineStr">
        <is>
          <t>Nos</t>
        </is>
      </c>
      <c r="K11" s="15" t="n">
        <v>15555</v>
      </c>
      <c r="L11" s="3" t="inlineStr">
        <is>
          <t>Active</t>
        </is>
      </c>
      <c r="M11" s="17" t="inlineStr"/>
      <c r="N11" s="17" t="inlineStr"/>
    </row>
    <row r="12" ht="15" customHeight="1">
      <c r="A12" s="12" t="inlineStr">
        <is>
          <t>Gate Valves</t>
        </is>
      </c>
      <c r="B12" s="13" t="inlineStr">
        <is>
          <t>Cast Carbon Steel (ASTM A216 Gr. WCB) Outside Screw &amp; Yoke Type Bolted Bonnet Non Rotating Rising Spindle Gate Valve, Flanged End, Hand Wheel Operated ASA 150#</t>
        </is>
      </c>
      <c r="C12" s="13" t="inlineStr">
        <is>
          <t>Design: API 600 | Body: ASTM A216 Gr WCB | Trims: 13% Cr SS410 (Trim-1) | F-F: ASME B16.10 | Pressure: ASME B16.34 | Test: API 598 | Hydro: Body 32, Seat 23 Kg/Cm2</t>
        </is>
      </c>
      <c r="D12" s="13" t="inlineStr">
        <is>
          <t>ASTM A216 Gr WCB + 13% Cr SS410</t>
        </is>
      </c>
      <c r="E12" s="14" t="inlineStr">
        <is>
          <t>3"</t>
        </is>
      </c>
      <c r="F12" s="13" t="inlineStr"/>
      <c r="G12" s="13" t="inlineStr"/>
      <c r="H12" s="13" t="inlineStr">
        <is>
          <t>API 600</t>
        </is>
      </c>
      <c r="I12" s="13" t="inlineStr">
        <is>
          <t>Body 32, Seat 23 Kg/Cm2</t>
        </is>
      </c>
      <c r="J12" s="13" t="inlineStr">
        <is>
          <t>Nos</t>
        </is>
      </c>
      <c r="K12" s="15" t="n">
        <v>18555</v>
      </c>
      <c r="L12" s="3" t="inlineStr">
        <is>
          <t>Active</t>
        </is>
      </c>
      <c r="M12" s="13" t="inlineStr"/>
      <c r="N12" s="13" t="inlineStr"/>
    </row>
    <row r="13" ht="15" customHeight="1">
      <c r="A13" s="16" t="inlineStr">
        <is>
          <t>Gate Valves</t>
        </is>
      </c>
      <c r="B13" s="17" t="inlineStr">
        <is>
          <t>Cast Carbon Steel (ASTM A216 Gr. WCB) Outside Screw &amp; Yoke Type Bolted Bonnet Non Rotating Rising Spindle Gate Valve, Flanged End, Hand Wheel Operated ASA 150#</t>
        </is>
      </c>
      <c r="C13" s="17" t="inlineStr">
        <is>
          <t>Design: API 600 | Body: ASTM A216 Gr WCB | Trims: 13% Cr SS410 (Trim-1) | F-F: ASME B16.10 | Pressure: ASME B16.34 | Test: API 598 | Hydro: Body 32, Seat 23 Kg/Cm2</t>
        </is>
      </c>
      <c r="D13" s="17" t="inlineStr">
        <is>
          <t>ASTM A216 Gr WCB + 13% Cr SS410</t>
        </is>
      </c>
      <c r="E13" s="18" t="inlineStr">
        <is>
          <t>4"</t>
        </is>
      </c>
      <c r="F13" s="17" t="inlineStr"/>
      <c r="G13" s="17" t="inlineStr"/>
      <c r="H13" s="17" t="inlineStr">
        <is>
          <t>API 600</t>
        </is>
      </c>
      <c r="I13" s="17" t="inlineStr">
        <is>
          <t>Body 32, Seat 23 Kg/Cm2</t>
        </is>
      </c>
      <c r="J13" s="17" t="inlineStr">
        <is>
          <t>Nos</t>
        </is>
      </c>
      <c r="K13" s="15" t="n">
        <v>26555</v>
      </c>
      <c r="L13" s="3" t="inlineStr">
        <is>
          <t>Active</t>
        </is>
      </c>
      <c r="M13" s="17" t="inlineStr"/>
      <c r="N13" s="17" t="inlineStr"/>
    </row>
    <row r="14" ht="15" customHeight="1">
      <c r="A14" s="12" t="inlineStr">
        <is>
          <t>Gate Valves</t>
        </is>
      </c>
      <c r="B14" s="13" t="inlineStr">
        <is>
          <t>Cast Carbon Steel (ASTM A216 Gr. WCB) Outside Screw &amp; Yoke Type Bolted Bonnet Non Rotating Rising Spindle Gate Valve, Flanged End, Hand Wheel Operated ASA 150#</t>
        </is>
      </c>
      <c r="C14" s="13" t="inlineStr">
        <is>
          <t>Design: API 600 | Body: ASTM A216 Gr WCB | Trims: 13% Cr SS410 (Trim-1) | F-F: ASME B16.10 | Pressure: ASME B16.34 | Test: API 598 | Hydro: Body 32, Seat 23 Kg/Cm2</t>
        </is>
      </c>
      <c r="D14" s="13" t="inlineStr">
        <is>
          <t>ASTM A216 Gr WCB + 13% Cr SS410</t>
        </is>
      </c>
      <c r="E14" s="14" t="inlineStr">
        <is>
          <t>5"</t>
        </is>
      </c>
      <c r="F14" s="13" t="inlineStr"/>
      <c r="G14" s="13" t="inlineStr"/>
      <c r="H14" s="13" t="inlineStr">
        <is>
          <t>API 600</t>
        </is>
      </c>
      <c r="I14" s="13" t="inlineStr">
        <is>
          <t>Body 32, Seat 23 Kg/Cm2</t>
        </is>
      </c>
      <c r="J14" s="13" t="inlineStr">
        <is>
          <t>Nos</t>
        </is>
      </c>
      <c r="K14" s="15" t="n">
        <v>34555</v>
      </c>
      <c r="L14" s="3" t="inlineStr">
        <is>
          <t>Active</t>
        </is>
      </c>
      <c r="M14" s="13" t="inlineStr"/>
      <c r="N14" s="13" t="inlineStr"/>
    </row>
    <row r="15" ht="15" customHeight="1">
      <c r="A15" s="16" t="inlineStr">
        <is>
          <t>Gate Valves</t>
        </is>
      </c>
      <c r="B15" s="17" t="inlineStr">
        <is>
          <t>Cast Carbon Steel (ASTM A216 Gr. WCB) Outside Screw &amp; Yoke Type Bolted Bonnet Non Rotating Rising Spindle Gate Valve, Flanged End, Hand Wheel Operated ASA 150#</t>
        </is>
      </c>
      <c r="C15" s="17" t="inlineStr">
        <is>
          <t>Design: API 600 | Body: ASTM A216 Gr WCB | Trims: 13% Cr SS410 (Trim-1) | F-F: ASME B16.10 | Pressure: ASME B16.34 | Test: API 598 | Hydro: Body 32, Seat 23 Kg/Cm2</t>
        </is>
      </c>
      <c r="D15" s="17" t="inlineStr">
        <is>
          <t>ASTM A216 Gr WCB + 13% Cr SS410</t>
        </is>
      </c>
      <c r="E15" s="18" t="inlineStr">
        <is>
          <t>6"</t>
        </is>
      </c>
      <c r="F15" s="17" t="inlineStr"/>
      <c r="G15" s="17" t="inlineStr"/>
      <c r="H15" s="17" t="inlineStr">
        <is>
          <t>API 600</t>
        </is>
      </c>
      <c r="I15" s="17" t="inlineStr">
        <is>
          <t>Body 32, Seat 23 Kg/Cm2</t>
        </is>
      </c>
      <c r="J15" s="17" t="inlineStr">
        <is>
          <t>Nos</t>
        </is>
      </c>
      <c r="K15" s="15" t="n">
        <v>40955</v>
      </c>
      <c r="L15" s="3" t="inlineStr">
        <is>
          <t>Active</t>
        </is>
      </c>
      <c r="M15" s="17" t="inlineStr"/>
      <c r="N15" s="17" t="inlineStr"/>
    </row>
    <row r="16" ht="15" customHeight="1">
      <c r="A16" s="12" t="inlineStr">
        <is>
          <t>Gate Valves</t>
        </is>
      </c>
      <c r="B16" s="13" t="inlineStr">
        <is>
          <t>Cast Carbon Steel (ASTM A216 Gr. WCB) Outside Screw &amp; Yoke Type Bolted Bonnet Non Rotating Rising Spindle Gate Valve, Flanged End, Hand Wheel Operated ASA 150#</t>
        </is>
      </c>
      <c r="C16" s="13" t="inlineStr">
        <is>
          <t>Design: API 600 | Body: ASTM A216 Gr WCB | Trims: 13% Cr SS410 (Trim-1) | F-F: ASME B16.10 | Pressure: ASME B16.34 | Test: API 598 | Hydro: Body 32, Seat 23 Kg/Cm2</t>
        </is>
      </c>
      <c r="D16" s="13" t="inlineStr">
        <is>
          <t>ASTM A216 Gr WCB + 13% Cr SS410</t>
        </is>
      </c>
      <c r="E16" s="14" t="inlineStr">
        <is>
          <t>8"</t>
        </is>
      </c>
      <c r="F16" s="13" t="inlineStr"/>
      <c r="G16" s="13" t="inlineStr"/>
      <c r="H16" s="13" t="inlineStr">
        <is>
          <t>API 600</t>
        </is>
      </c>
      <c r="I16" s="13" t="inlineStr">
        <is>
          <t>Body 32, Seat 23 Kg/Cm2</t>
        </is>
      </c>
      <c r="J16" s="13" t="inlineStr">
        <is>
          <t>Nos</t>
        </is>
      </c>
      <c r="K16" s="15" t="n">
        <v>65555</v>
      </c>
      <c r="L16" s="3" t="inlineStr">
        <is>
          <t>Active</t>
        </is>
      </c>
      <c r="M16" s="13" t="inlineStr"/>
      <c r="N16" s="13" t="inlineStr"/>
    </row>
    <row r="17" ht="15" customHeight="1">
      <c r="A17" s="16" t="inlineStr">
        <is>
          <t>Gate Valves</t>
        </is>
      </c>
      <c r="B17" s="17" t="inlineStr">
        <is>
          <t>Cast Carbon Steel (ASTM A216 Gr. WCB) Outside Screw &amp; Yoke Type Bolted Bonnet Non Rotating Rising Spindle Gate Valve, Flanged End, Hand Wheel Operated ASA 150#</t>
        </is>
      </c>
      <c r="C17" s="17" t="inlineStr">
        <is>
          <t>Design: API 600 | Body: ASTM A216 Gr WCB | Trims: 13% Cr SS410 (Trim-1) | F-F: ASME B16.10 | Pressure: ASME B16.34 | Test: API 598 | Hydro: Body 32, Seat 23 Kg/Cm2</t>
        </is>
      </c>
      <c r="D17" s="17" t="inlineStr">
        <is>
          <t>ASTM A216 Gr WCB + 13% Cr SS410</t>
        </is>
      </c>
      <c r="E17" s="18" t="inlineStr">
        <is>
          <t>10"</t>
        </is>
      </c>
      <c r="F17" s="17" t="inlineStr"/>
      <c r="G17" s="17" t="inlineStr"/>
      <c r="H17" s="17" t="inlineStr">
        <is>
          <t>API 600</t>
        </is>
      </c>
      <c r="I17" s="17" t="inlineStr">
        <is>
          <t>Body 32, Seat 23 Kg/Cm2</t>
        </is>
      </c>
      <c r="J17" s="17" t="inlineStr">
        <is>
          <t>Nos</t>
        </is>
      </c>
      <c r="K17" s="15" t="n">
        <v>91155</v>
      </c>
      <c r="L17" s="3" t="inlineStr">
        <is>
          <t>Active</t>
        </is>
      </c>
      <c r="M17" s="17" t="inlineStr"/>
      <c r="N17" s="17" t="inlineStr"/>
    </row>
    <row r="18" ht="15" customHeight="1">
      <c r="A18" s="12" t="inlineStr">
        <is>
          <t>Gate Valves</t>
        </is>
      </c>
      <c r="B18" s="13" t="inlineStr">
        <is>
          <t>Cast Carbon Steel (ASTM A216 Gr. WCB) Outside Screw &amp; Yoke Type Bolted Bonnet Non Rotating Rising Spindle Gate Valve, Flanged End, Hand Wheel Operated ASA 150#</t>
        </is>
      </c>
      <c r="C18" s="13" t="inlineStr">
        <is>
          <t>Design: API 600 | Body: ASTM A216 Gr WCB | Trims: 13% Cr SS410 (Trim-1) | F-F: ASME B16.10 | Pressure: ASME B16.34 | Test: API 598 | Hydro: Body 32, Seat 23 Kg/Cm2</t>
        </is>
      </c>
      <c r="D18" s="13" t="inlineStr">
        <is>
          <t>ASTM A216 Gr WCB + 13% Cr SS410</t>
        </is>
      </c>
      <c r="E18" s="14" t="inlineStr">
        <is>
          <t>12"</t>
        </is>
      </c>
      <c r="F18" s="13" t="inlineStr"/>
      <c r="G18" s="13" t="inlineStr"/>
      <c r="H18" s="13" t="inlineStr">
        <is>
          <t>API 600</t>
        </is>
      </c>
      <c r="I18" s="13" t="inlineStr">
        <is>
          <t>Body 32, Seat 23 Kg/Cm2</t>
        </is>
      </c>
      <c r="J18" s="13" t="inlineStr">
        <is>
          <t>Nos</t>
        </is>
      </c>
      <c r="K18" s="19" t="inlineStr">
        <is>
          <t>On Request</t>
        </is>
      </c>
      <c r="L18" s="3" t="inlineStr">
        <is>
          <t>Active</t>
        </is>
      </c>
      <c r="M18" s="13" t="inlineStr"/>
      <c r="N18" s="13" t="inlineStr"/>
    </row>
    <row r="19" ht="15" customHeight="1">
      <c r="A19" s="20" t="inlineStr">
        <is>
          <t>Globe Valves</t>
        </is>
      </c>
      <c r="B19" s="17" t="inlineStr">
        <is>
          <t>Cast Carbon Steel (ASTM A216 Gr. WCB) Outside Screw &amp; Yoke Type Bolted Bonnet Globe Valve, Flanged End, Handwheel Operated ASA 150#</t>
        </is>
      </c>
      <c r="C19" s="17" t="inlineStr">
        <is>
          <t>Design: BS 1873 / API 6D | Body: ASTM A216 Gr WCB | Trims: 13% Cr SS410 (Trim-1) | F-F: ASME B16.10 | Pressure: ASME B16.34 | Test: API 598 | Hydro: Body 32, Seat 23 Kg/Cm2</t>
        </is>
      </c>
      <c r="D19" s="17" t="inlineStr">
        <is>
          <t>ASTM A216 Gr WCB + 13% Cr SS410</t>
        </is>
      </c>
      <c r="E19" s="18" t="inlineStr">
        <is>
          <t>1"</t>
        </is>
      </c>
      <c r="F19" s="17" t="inlineStr"/>
      <c r="G19" s="17" t="inlineStr"/>
      <c r="H19" s="17" t="inlineStr">
        <is>
          <t>BS 1873 / API 6D</t>
        </is>
      </c>
      <c r="I19" s="17" t="inlineStr">
        <is>
          <t>Body 32, Seat 23 Kg/Cm2</t>
        </is>
      </c>
      <c r="J19" s="17" t="inlineStr">
        <is>
          <t>Nos</t>
        </is>
      </c>
      <c r="K19" s="15" t="n">
        <v>5555</v>
      </c>
      <c r="L19" s="3" t="inlineStr">
        <is>
          <t>Active</t>
        </is>
      </c>
      <c r="M19" s="17" t="inlineStr"/>
      <c r="N19" s="17" t="inlineStr"/>
    </row>
    <row r="20" ht="15" customHeight="1">
      <c r="A20" s="21" t="inlineStr">
        <is>
          <t>Globe Valves</t>
        </is>
      </c>
      <c r="B20" s="13" t="inlineStr">
        <is>
          <t>Cast Carbon Steel (ASTM A216 Gr. WCB) Outside Screw &amp; Yoke Type Bolted Bonnet Globe Valve, Flanged End, Handwheel Operated ASA 150#</t>
        </is>
      </c>
      <c r="C20" s="13" t="inlineStr">
        <is>
          <t>Design: BS 1873 / API 6D | Body: ASTM A216 Gr WCB | Trims: 13% Cr SS410 (Trim-1) | F-F: ASME B16.10 | Pressure: ASME B16.34 | Test: API 598 | Hydro: Body 32, Seat 23 Kg/Cm2</t>
        </is>
      </c>
      <c r="D20" s="13" t="inlineStr">
        <is>
          <t>ASTM A216 Gr WCB + 13% Cr SS410</t>
        </is>
      </c>
      <c r="E20" s="14" t="inlineStr">
        <is>
          <t>1.5"</t>
        </is>
      </c>
      <c r="F20" s="13" t="inlineStr"/>
      <c r="G20" s="13" t="inlineStr"/>
      <c r="H20" s="13" t="inlineStr">
        <is>
          <t>BS 1873 / API 6D</t>
        </is>
      </c>
      <c r="I20" s="13" t="inlineStr">
        <is>
          <t>Body 32, Seat 23 Kg/Cm2</t>
        </is>
      </c>
      <c r="J20" s="13" t="inlineStr">
        <is>
          <t>Nos</t>
        </is>
      </c>
      <c r="K20" s="15" t="n">
        <v>7655</v>
      </c>
      <c r="L20" s="3" t="inlineStr">
        <is>
          <t>Active</t>
        </is>
      </c>
      <c r="M20" s="13" t="inlineStr"/>
      <c r="N20" s="13" t="inlineStr"/>
    </row>
    <row r="21" ht="15" customHeight="1">
      <c r="A21" s="20" t="inlineStr">
        <is>
          <t>Globe Valves</t>
        </is>
      </c>
      <c r="B21" s="17" t="inlineStr">
        <is>
          <t>Cast Carbon Steel (ASTM A216 Gr. WCB) Outside Screw &amp; Yoke Type Bolted Bonnet Globe Valve, Flanged End, Handwheel Operated ASA 150#</t>
        </is>
      </c>
      <c r="C21" s="17" t="inlineStr">
        <is>
          <t>Design: BS 1873 / API 6D | Body: ASTM A216 Gr WCB | Trims: 13% Cr SS410 (Trim-1) | F-F: ASME B16.10 | Pressure: ASME B16.34 | Test: API 598 | Hydro: Body 32, Seat 23 Kg/Cm2</t>
        </is>
      </c>
      <c r="D21" s="17" t="inlineStr">
        <is>
          <t>ASTM A216 Gr WCB + 13% Cr SS410</t>
        </is>
      </c>
      <c r="E21" s="18" t="inlineStr">
        <is>
          <t>2"</t>
        </is>
      </c>
      <c r="F21" s="17" t="inlineStr"/>
      <c r="G21" s="17" t="inlineStr"/>
      <c r="H21" s="17" t="inlineStr">
        <is>
          <t>BS 1873 / API 6D</t>
        </is>
      </c>
      <c r="I21" s="17" t="inlineStr">
        <is>
          <t>Body 32, Seat 23 Kg/Cm2</t>
        </is>
      </c>
      <c r="J21" s="17" t="inlineStr">
        <is>
          <t>Nos</t>
        </is>
      </c>
      <c r="K21" s="15" t="n">
        <v>11355</v>
      </c>
      <c r="L21" s="3" t="inlineStr">
        <is>
          <t>Active</t>
        </is>
      </c>
      <c r="M21" s="17" t="inlineStr"/>
      <c r="N21" s="17" t="inlineStr"/>
    </row>
    <row r="22" ht="15" customHeight="1">
      <c r="A22" s="21" t="inlineStr">
        <is>
          <t>Globe Valves</t>
        </is>
      </c>
      <c r="B22" s="13" t="inlineStr">
        <is>
          <t>Cast Carbon Steel (ASTM A216 Gr. WCB) Outside Screw &amp; Yoke Type Bolted Bonnet Globe Valve, Flanged End, Handwheel Operated ASA 150#</t>
        </is>
      </c>
      <c r="C22" s="13" t="inlineStr">
        <is>
          <t>Design: BS 1873 / API 6D | Body: ASTM A216 Gr WCB | Trims: 13% Cr SS410 (Trim-1) | F-F: ASME B16.10 | Pressure: ASME B16.34 | Test: API 598 | Hydro: Body 32, Seat 23 Kg/Cm2</t>
        </is>
      </c>
      <c r="D22" s="13" t="inlineStr">
        <is>
          <t>ASTM A216 Gr WCB + 13% Cr SS410</t>
        </is>
      </c>
      <c r="E22" s="14" t="inlineStr">
        <is>
          <t>2.5"</t>
        </is>
      </c>
      <c r="F22" s="13" t="inlineStr"/>
      <c r="G22" s="13" t="inlineStr"/>
      <c r="H22" s="13" t="inlineStr">
        <is>
          <t>BS 1873 / API 6D</t>
        </is>
      </c>
      <c r="I22" s="13" t="inlineStr">
        <is>
          <t>Body 32, Seat 23 Kg/Cm2</t>
        </is>
      </c>
      <c r="J22" s="13" t="inlineStr">
        <is>
          <t>Nos</t>
        </is>
      </c>
      <c r="K22" s="15" t="n">
        <v>15355</v>
      </c>
      <c r="L22" s="3" t="inlineStr">
        <is>
          <t>Active</t>
        </is>
      </c>
      <c r="M22" s="13" t="inlineStr"/>
      <c r="N22" s="13" t="inlineStr"/>
    </row>
    <row r="23" ht="15" customHeight="1">
      <c r="A23" s="20" t="inlineStr">
        <is>
          <t>Globe Valves</t>
        </is>
      </c>
      <c r="B23" s="17" t="inlineStr">
        <is>
          <t>Cast Carbon Steel (ASTM A216 Gr. WCB) Outside Screw &amp; Yoke Type Bolted Bonnet Globe Valve, Flanged End, Handwheel Operated ASA 150#</t>
        </is>
      </c>
      <c r="C23" s="17" t="inlineStr">
        <is>
          <t>Design: BS 1873 / API 6D | Body: ASTM A216 Gr WCB | Trims: 13% Cr SS410 (Trim-1) | F-F: ASME B16.10 | Pressure: ASME B16.34 | Test: API 598 | Hydro: Body 32, Seat 23 Kg/Cm2</t>
        </is>
      </c>
      <c r="D23" s="17" t="inlineStr">
        <is>
          <t>ASTM A216 Gr WCB + 13% Cr SS410</t>
        </is>
      </c>
      <c r="E23" s="18" t="inlineStr">
        <is>
          <t>3"</t>
        </is>
      </c>
      <c r="F23" s="17" t="inlineStr"/>
      <c r="G23" s="17" t="inlineStr"/>
      <c r="H23" s="17" t="inlineStr">
        <is>
          <t>BS 1873 / API 6D</t>
        </is>
      </c>
      <c r="I23" s="17" t="inlineStr">
        <is>
          <t>Body 32, Seat 23 Kg/Cm2</t>
        </is>
      </c>
      <c r="J23" s="17" t="inlineStr">
        <is>
          <t>Nos</t>
        </is>
      </c>
      <c r="K23" s="15" t="n">
        <v>18155</v>
      </c>
      <c r="L23" s="3" t="inlineStr">
        <is>
          <t>Active</t>
        </is>
      </c>
      <c r="M23" s="17" t="inlineStr"/>
      <c r="N23" s="17" t="inlineStr"/>
    </row>
    <row r="24" ht="15" customHeight="1">
      <c r="A24" s="21" t="inlineStr">
        <is>
          <t>Globe Valves</t>
        </is>
      </c>
      <c r="B24" s="13" t="inlineStr">
        <is>
          <t>Cast Carbon Steel (ASTM A216 Gr. WCB) Outside Screw &amp; Yoke Type Bolted Bonnet Globe Valve, Flanged End, Handwheel Operated ASA 150#</t>
        </is>
      </c>
      <c r="C24" s="13" t="inlineStr">
        <is>
          <t>Design: BS 1873 / API 6D | Body: ASTM A216 Gr WCB | Trims: 13% Cr SS410 (Trim-1) | F-F: ASME B16.10 | Pressure: ASME B16.34 | Test: API 598 | Hydro: Body 32, Seat 23 Kg/Cm2</t>
        </is>
      </c>
      <c r="D24" s="13" t="inlineStr">
        <is>
          <t>ASTM A216 Gr WCB + 13% Cr SS410</t>
        </is>
      </c>
      <c r="E24" s="14" t="inlineStr">
        <is>
          <t>4"</t>
        </is>
      </c>
      <c r="F24" s="13" t="inlineStr"/>
      <c r="G24" s="13" t="inlineStr"/>
      <c r="H24" s="13" t="inlineStr">
        <is>
          <t>BS 1873 / API 6D</t>
        </is>
      </c>
      <c r="I24" s="13" t="inlineStr">
        <is>
          <t>Body 32, Seat 23 Kg/Cm2</t>
        </is>
      </c>
      <c r="J24" s="13" t="inlineStr">
        <is>
          <t>Nos</t>
        </is>
      </c>
      <c r="K24" s="15" t="n">
        <v>26955</v>
      </c>
      <c r="L24" s="3" t="inlineStr">
        <is>
          <t>Active</t>
        </is>
      </c>
      <c r="M24" s="13" t="inlineStr"/>
      <c r="N24" s="13" t="inlineStr"/>
    </row>
    <row r="25" ht="15" customHeight="1">
      <c r="A25" s="20" t="inlineStr">
        <is>
          <t>Globe Valves</t>
        </is>
      </c>
      <c r="B25" s="17" t="inlineStr">
        <is>
          <t>Cast Carbon Steel (ASTM A216 Gr. WCB) Outside Screw &amp; Yoke Type Bolted Bonnet Globe Valve, Flanged End, Handwheel Operated ASA 150#</t>
        </is>
      </c>
      <c r="C25" s="17" t="inlineStr">
        <is>
          <t>Design: BS 1873 / API 6D | Body: ASTM A216 Gr WCB | Trims: 13% Cr SS410 (Trim-1) | F-F: ASME B16.10 | Pressure: ASME B16.34 | Test: API 598 | Hydro: Body 32, Seat 23 Kg/Cm2</t>
        </is>
      </c>
      <c r="D25" s="17" t="inlineStr">
        <is>
          <t>ASTM A216 Gr WCB + 13% Cr SS410</t>
        </is>
      </c>
      <c r="E25" s="18" t="inlineStr">
        <is>
          <t>5"</t>
        </is>
      </c>
      <c r="F25" s="17" t="inlineStr"/>
      <c r="G25" s="17" t="inlineStr"/>
      <c r="H25" s="17" t="inlineStr">
        <is>
          <t>BS 1873 / API 6D</t>
        </is>
      </c>
      <c r="I25" s="17" t="inlineStr">
        <is>
          <t>Body 32, Seat 23 Kg/Cm2</t>
        </is>
      </c>
      <c r="J25" s="17" t="inlineStr">
        <is>
          <t>Nos</t>
        </is>
      </c>
      <c r="K25" s="15" t="n">
        <v>34655</v>
      </c>
      <c r="L25" s="3" t="inlineStr">
        <is>
          <t>Active</t>
        </is>
      </c>
      <c r="M25" s="17" t="inlineStr"/>
      <c r="N25" s="17" t="inlineStr"/>
    </row>
    <row r="26" ht="15" customHeight="1">
      <c r="A26" s="21" t="inlineStr">
        <is>
          <t>Globe Valves</t>
        </is>
      </c>
      <c r="B26" s="13" t="inlineStr">
        <is>
          <t>Cast Carbon Steel (ASTM A216 Gr. WCB) Outside Screw &amp; Yoke Type Bolted Bonnet Globe Valve, Flanged End, Handwheel Operated ASA 150#</t>
        </is>
      </c>
      <c r="C26" s="13" t="inlineStr">
        <is>
          <t>Design: BS 1873 / API 6D | Body: ASTM A216 Gr WCB | Trims: 13% Cr SS410 (Trim-1) | F-F: ASME B16.10 | Pressure: ASME B16.34 | Test: API 598 | Hydro: Body 32, Seat 23 Kg/Cm2</t>
        </is>
      </c>
      <c r="D26" s="13" t="inlineStr">
        <is>
          <t>ASTM A216 Gr WCB + 13% Cr SS410</t>
        </is>
      </c>
      <c r="E26" s="14" t="inlineStr">
        <is>
          <t>6"</t>
        </is>
      </c>
      <c r="F26" s="13" t="inlineStr"/>
      <c r="G26" s="13" t="inlineStr"/>
      <c r="H26" s="13" t="inlineStr">
        <is>
          <t>BS 1873 / API 6D</t>
        </is>
      </c>
      <c r="I26" s="13" t="inlineStr">
        <is>
          <t>Body 32, Seat 23 Kg/Cm2</t>
        </is>
      </c>
      <c r="J26" s="13" t="inlineStr">
        <is>
          <t>Nos</t>
        </is>
      </c>
      <c r="K26" s="15" t="n">
        <v>41155</v>
      </c>
      <c r="L26" s="3" t="inlineStr">
        <is>
          <t>Active</t>
        </is>
      </c>
      <c r="M26" s="13" t="inlineStr"/>
      <c r="N26" s="13" t="inlineStr"/>
    </row>
    <row r="27" ht="15" customHeight="1">
      <c r="A27" s="20" t="inlineStr">
        <is>
          <t>Globe Valves</t>
        </is>
      </c>
      <c r="B27" s="17" t="inlineStr">
        <is>
          <t>Cast Carbon Steel (ASTM A216 Gr. WCB) Outside Screw &amp; Yoke Type Bolted Bonnet Globe Valve, Flanged End, Handwheel Operated ASA 150#</t>
        </is>
      </c>
      <c r="C27" s="17" t="inlineStr">
        <is>
          <t>Design: BS 1873 / API 6D | Body: ASTM A216 Gr WCB | Trims: 13% Cr SS410 (Trim-1) | F-F: ASME B16.10 | Pressure: ASME B16.34 | Test: API 598 | Hydro: Body 32, Seat 23 Kg/Cm2</t>
        </is>
      </c>
      <c r="D27" s="17" t="inlineStr">
        <is>
          <t>ASTM A216 Gr WCB + 13% Cr SS410</t>
        </is>
      </c>
      <c r="E27" s="18" t="inlineStr">
        <is>
          <t>8"</t>
        </is>
      </c>
      <c r="F27" s="17" t="inlineStr"/>
      <c r="G27" s="17" t="inlineStr"/>
      <c r="H27" s="17" t="inlineStr">
        <is>
          <t>BS 1873 / API 6D</t>
        </is>
      </c>
      <c r="I27" s="17" t="inlineStr">
        <is>
          <t>Body 32, Seat 23 Kg/Cm2</t>
        </is>
      </c>
      <c r="J27" s="17" t="inlineStr">
        <is>
          <t>Nos</t>
        </is>
      </c>
      <c r="K27" s="15" t="n">
        <v>67955</v>
      </c>
      <c r="L27" s="3" t="inlineStr">
        <is>
          <t>Active</t>
        </is>
      </c>
      <c r="M27" s="17" t="inlineStr"/>
      <c r="N27" s="17" t="inlineStr"/>
    </row>
    <row r="28" ht="15" customHeight="1">
      <c r="A28" s="21" t="inlineStr">
        <is>
          <t>Globe Valves</t>
        </is>
      </c>
      <c r="B28" s="13" t="inlineStr">
        <is>
          <t>Cast Carbon Steel (ASTM A216 Gr. WCB) Outside Screw &amp; Yoke Type Bolted Bonnet Globe Valve, Flanged End, Handwheel Operated ASA 150#</t>
        </is>
      </c>
      <c r="C28" s="13" t="inlineStr">
        <is>
          <t>Design: BS 1873 / API 6D | Body: ASTM A216 Gr WCB | Trims: 13% Cr SS410 (Trim-1) | F-F: ASME B16.10 | Pressure: ASME B16.34 | Test: API 598 | Hydro: Body 32, Seat 23 Kg/Cm2</t>
        </is>
      </c>
      <c r="D28" s="13" t="inlineStr">
        <is>
          <t>ASTM A216 Gr WCB + 13% Cr SS410</t>
        </is>
      </c>
      <c r="E28" s="14" t="inlineStr">
        <is>
          <t>10" / 12" Gear Opp</t>
        </is>
      </c>
      <c r="F28" s="13" t="inlineStr"/>
      <c r="G28" s="13" t="inlineStr"/>
      <c r="H28" s="13" t="inlineStr">
        <is>
          <t>BS 1873 / API 6D</t>
        </is>
      </c>
      <c r="I28" s="13" t="inlineStr">
        <is>
          <t>Body 32, Seat 23 Kg/Cm2</t>
        </is>
      </c>
      <c r="J28" s="13" t="inlineStr">
        <is>
          <t>Nos</t>
        </is>
      </c>
      <c r="K28" s="15" t="n">
        <v>115655</v>
      </c>
      <c r="L28" s="3" t="inlineStr">
        <is>
          <t>Active</t>
        </is>
      </c>
      <c r="M28" s="13" t="inlineStr"/>
      <c r="N28" s="13" t="inlineStr"/>
    </row>
    <row r="29" ht="15" customHeight="1">
      <c r="A29" s="22" t="inlineStr">
        <is>
          <t>Control Valves</t>
        </is>
      </c>
      <c r="B29" s="17" t="inlineStr">
        <is>
          <t>Cast Carbon Steel (ASTM A216 Gr. WCB) Investment Casting 3/2 Way Globe Type Pneumatic Cylinder Operated Control Valve, F/Ends ASA 150#</t>
        </is>
      </c>
      <c r="C29" s="17" t="inlineStr">
        <is>
          <t>Design: MFG STD | Body: ASTM A216 Gr WCB | Trims: S.S.304 (Trim-2) | F-F: MFG STD | Pressure: ASME B16.34 | Test: API 598 | Hydro: Body 32, Seat 23 Kg/Cm2</t>
        </is>
      </c>
      <c r="D29" s="17" t="inlineStr">
        <is>
          <t>WCB Body + SS304 Trim, Pneumatic Cylinder</t>
        </is>
      </c>
      <c r="E29" s="18" t="inlineStr">
        <is>
          <t>1"</t>
        </is>
      </c>
      <c r="F29" s="17" t="inlineStr"/>
      <c r="G29" s="17" t="inlineStr"/>
      <c r="H29" s="17" t="inlineStr">
        <is>
          <t>MFG STD</t>
        </is>
      </c>
      <c r="I29" s="17" t="inlineStr">
        <is>
          <t>Body 32, Seat 23 Kg/Cm2</t>
        </is>
      </c>
      <c r="J29" s="17" t="inlineStr">
        <is>
          <t>Nos</t>
        </is>
      </c>
      <c r="K29" s="15" t="n">
        <v>14655</v>
      </c>
      <c r="L29" s="3" t="inlineStr">
        <is>
          <t>Active</t>
        </is>
      </c>
      <c r="M29" s="17" t="inlineStr"/>
      <c r="N29" s="17" t="inlineStr"/>
    </row>
    <row r="30" ht="15" customHeight="1">
      <c r="A30" s="23" t="inlineStr">
        <is>
          <t>Control Valves</t>
        </is>
      </c>
      <c r="B30" s="13" t="inlineStr">
        <is>
          <t>Cast Carbon Steel (ASTM A216 Gr. WCB) Investment Casting 3/2 Way Globe Type Pneumatic Cylinder Operated Control Valve, F/Ends ASA 150#</t>
        </is>
      </c>
      <c r="C30" s="13" t="inlineStr">
        <is>
          <t>Design: MFG STD | Body: ASTM A216 Gr WCB | Trims: S.S.304 (Trim-2) | F-F: MFG STD | Pressure: ASME B16.34 | Test: API 598 | Hydro: Body 32, Seat 23 Kg/Cm2</t>
        </is>
      </c>
      <c r="D30" s="13" t="inlineStr">
        <is>
          <t>WCB Body + SS304 Trim, Pneumatic Cylinder</t>
        </is>
      </c>
      <c r="E30" s="14" t="inlineStr">
        <is>
          <t>1.5"</t>
        </is>
      </c>
      <c r="F30" s="13" t="inlineStr"/>
      <c r="G30" s="13" t="inlineStr"/>
      <c r="H30" s="13" t="inlineStr">
        <is>
          <t>MFG STD</t>
        </is>
      </c>
      <c r="I30" s="13" t="inlineStr">
        <is>
          <t>Body 32, Seat 23 Kg/Cm2</t>
        </is>
      </c>
      <c r="J30" s="13" t="inlineStr">
        <is>
          <t>Nos</t>
        </is>
      </c>
      <c r="K30" s="15" t="n">
        <v>21955</v>
      </c>
      <c r="L30" s="3" t="inlineStr">
        <is>
          <t>Active</t>
        </is>
      </c>
      <c r="M30" s="13" t="inlineStr"/>
      <c r="N30" s="13" t="inlineStr"/>
    </row>
    <row r="31" ht="15" customHeight="1">
      <c r="A31" s="22" t="inlineStr">
        <is>
          <t>Control Valves</t>
        </is>
      </c>
      <c r="B31" s="17" t="inlineStr">
        <is>
          <t>Cast Carbon Steel (ASTM A216 Gr. WCB) Investment Casting 3/2 Way Globe Type Pneumatic Cylinder Operated Control Valve, F/Ends ASA 150#</t>
        </is>
      </c>
      <c r="C31" s="17" t="inlineStr">
        <is>
          <t>Design: MFG STD | Body: ASTM A216 Gr WCB | Trims: S.S.304 (Trim-2) | F-F: MFG STD | Pressure: ASME B16.34 | Test: API 598 | Hydro: Body 32, Seat 23 Kg/Cm2</t>
        </is>
      </c>
      <c r="D31" s="17" t="inlineStr">
        <is>
          <t>WCB Body + SS304 Trim, Pneumatic Cylinder</t>
        </is>
      </c>
      <c r="E31" s="18" t="inlineStr">
        <is>
          <t>2"</t>
        </is>
      </c>
      <c r="F31" s="17" t="inlineStr"/>
      <c r="G31" s="17" t="inlineStr"/>
      <c r="H31" s="17" t="inlineStr">
        <is>
          <t>MFG STD</t>
        </is>
      </c>
      <c r="I31" s="17" t="inlineStr">
        <is>
          <t>Body 32, Seat 23 Kg/Cm2</t>
        </is>
      </c>
      <c r="J31" s="17" t="inlineStr">
        <is>
          <t>Nos</t>
        </is>
      </c>
      <c r="K31" s="15" t="n">
        <v>26955</v>
      </c>
      <c r="L31" s="3" t="inlineStr">
        <is>
          <t>Active</t>
        </is>
      </c>
      <c r="M31" s="17" t="inlineStr"/>
      <c r="N31" s="17" t="inlineStr"/>
    </row>
    <row r="32" ht="15" customHeight="1">
      <c r="A32" s="23" t="inlineStr">
        <is>
          <t>Control Valves</t>
        </is>
      </c>
      <c r="B32" s="13" t="inlineStr">
        <is>
          <t>Cast Carbon Steel (ASTM A216 Gr. WCB) Investment Casting 3/2 Way Globe Type Pneumatic Cylinder Operated Control Valve, F/Ends ASA 150#</t>
        </is>
      </c>
      <c r="C32" s="13" t="inlineStr">
        <is>
          <t>Design: MFG STD | Body: ASTM A216 Gr WCB | Trims: S.S.304 (Trim-2) | F-F: MFG STD | Pressure: ASME B16.34 | Test: API 598 | Hydro: Body 32, Seat 23 Kg/Cm2</t>
        </is>
      </c>
      <c r="D32" s="13" t="inlineStr">
        <is>
          <t>WCB Body + SS304 Trim, Pneumatic Cylinder</t>
        </is>
      </c>
      <c r="E32" s="14" t="inlineStr">
        <is>
          <t>2.5"</t>
        </is>
      </c>
      <c r="F32" s="13" t="inlineStr"/>
      <c r="G32" s="13" t="inlineStr"/>
      <c r="H32" s="13" t="inlineStr">
        <is>
          <t>MFG STD</t>
        </is>
      </c>
      <c r="I32" s="13" t="inlineStr">
        <is>
          <t>Body 32, Seat 23 Kg/Cm2</t>
        </is>
      </c>
      <c r="J32" s="13" t="inlineStr">
        <is>
          <t>Nos</t>
        </is>
      </c>
      <c r="K32" s="15" t="n">
        <v>35855</v>
      </c>
      <c r="L32" s="3" t="inlineStr">
        <is>
          <t>Active</t>
        </is>
      </c>
      <c r="M32" s="13" t="inlineStr"/>
      <c r="N32" s="13" t="inlineStr"/>
    </row>
    <row r="33" ht="15" customHeight="1">
      <c r="A33" s="22" t="inlineStr">
        <is>
          <t>Control Valves</t>
        </is>
      </c>
      <c r="B33" s="17" t="inlineStr">
        <is>
          <t>Cast Carbon Steel (ASTM A216 Gr. WCB) Investment Casting 3/2 Way Globe Type Pneumatic Cylinder Operated Control Valve, F/Ends ASA 150#</t>
        </is>
      </c>
      <c r="C33" s="17" t="inlineStr">
        <is>
          <t>Design: MFG STD | Body: ASTM A216 Gr WCB | Trims: S.S.304 (Trim-2) | F-F: MFG STD | Pressure: ASME B16.34 | Test: API 598 | Hydro: Body 32, Seat 23 Kg/Cm2</t>
        </is>
      </c>
      <c r="D33" s="17" t="inlineStr">
        <is>
          <t>WCB Body + SS304 Trim, Pneumatic Cylinder</t>
        </is>
      </c>
      <c r="E33" s="18" t="inlineStr">
        <is>
          <t>3"</t>
        </is>
      </c>
      <c r="F33" s="17" t="inlineStr"/>
      <c r="G33" s="17" t="inlineStr"/>
      <c r="H33" s="17" t="inlineStr">
        <is>
          <t>MFG STD</t>
        </is>
      </c>
      <c r="I33" s="17" t="inlineStr">
        <is>
          <t>Body 32, Seat 23 Kg/Cm2</t>
        </is>
      </c>
      <c r="J33" s="17" t="inlineStr">
        <is>
          <t>Nos</t>
        </is>
      </c>
      <c r="K33" s="15" t="n">
        <v>39555</v>
      </c>
      <c r="L33" s="3" t="inlineStr">
        <is>
          <t>Active</t>
        </is>
      </c>
      <c r="M33" s="17" t="inlineStr"/>
      <c r="N33" s="17" t="inlineStr"/>
    </row>
    <row r="34" ht="15" customHeight="1">
      <c r="A34" s="23" t="inlineStr">
        <is>
          <t>Control Valves</t>
        </is>
      </c>
      <c r="B34" s="13" t="inlineStr">
        <is>
          <t>Cast Carbon Steel (ASTM A216 Gr. WCB) Investment Casting 3/2 Way Globe Type Pneumatic Cylinder Operated Control Valve, F/Ends ASA 150#</t>
        </is>
      </c>
      <c r="C34" s="13" t="inlineStr">
        <is>
          <t>Design: MFG STD | Body: ASTM A216 Gr WCB | Trims: S.S.304 (Trim-2) | F-F: MFG STD | Pressure: ASME B16.34 | Test: API 598 | Hydro: Body 32, Seat 23 Kg/Cm2</t>
        </is>
      </c>
      <c r="D34" s="13" t="inlineStr">
        <is>
          <t>WCB Body + SS304 Trim, Pneumatic Cylinder</t>
        </is>
      </c>
      <c r="E34" s="14" t="inlineStr">
        <is>
          <t>4"</t>
        </is>
      </c>
      <c r="F34" s="13" t="inlineStr"/>
      <c r="G34" s="13" t="inlineStr"/>
      <c r="H34" s="13" t="inlineStr">
        <is>
          <t>MFG STD</t>
        </is>
      </c>
      <c r="I34" s="13" t="inlineStr">
        <is>
          <t>Body 32, Seat 23 Kg/Cm2</t>
        </is>
      </c>
      <c r="J34" s="13" t="inlineStr">
        <is>
          <t>Nos</t>
        </is>
      </c>
      <c r="K34" s="15" t="n">
        <v>65555</v>
      </c>
      <c r="L34" s="3" t="inlineStr">
        <is>
          <t>Active</t>
        </is>
      </c>
      <c r="M34" s="13" t="inlineStr"/>
      <c r="N34" s="13" t="inlineStr"/>
    </row>
    <row r="35" ht="15" customHeight="1">
      <c r="A35" s="22" t="inlineStr">
        <is>
          <t>Control Valves</t>
        </is>
      </c>
      <c r="B35" s="17" t="inlineStr">
        <is>
          <t>Cast Carbon Steel (ASTM A216 Gr. WCB) Investment Casting 3/2 Way Globe Type Pneumatic Cylinder Operated Control Valve, F/Ends ASA 150#</t>
        </is>
      </c>
      <c r="C35" s="17" t="inlineStr">
        <is>
          <t>Design: MFG STD | Body: ASTM A216 Gr WCB | Trims: S.S.304 (Trim-2) | F-F: MFG STD | Pressure: ASME B16.34 | Test: API 598 | Hydro: Body 32, Seat 23 Kg/Cm2</t>
        </is>
      </c>
      <c r="D35" s="17" t="inlineStr">
        <is>
          <t>WCB Body + SS304 Trim, Pneumatic Cylinder</t>
        </is>
      </c>
      <c r="E35" s="18" t="inlineStr">
        <is>
          <t>6"</t>
        </is>
      </c>
      <c r="F35" s="17" t="inlineStr"/>
      <c r="G35" s="17" t="inlineStr"/>
      <c r="H35" s="17" t="inlineStr">
        <is>
          <t>MFG STD</t>
        </is>
      </c>
      <c r="I35" s="17" t="inlineStr">
        <is>
          <t>Body 32, Seat 23 Kg/Cm2</t>
        </is>
      </c>
      <c r="J35" s="17" t="inlineStr">
        <is>
          <t>Nos</t>
        </is>
      </c>
      <c r="K35" s="15" t="n">
        <v>113555</v>
      </c>
      <c r="L35" s="3" t="inlineStr">
        <is>
          <t>Active</t>
        </is>
      </c>
      <c r="M35" s="17" t="inlineStr"/>
      <c r="N35" s="17" t="inlineStr"/>
    </row>
    <row r="36" ht="15" customHeight="1">
      <c r="A36" s="23" t="inlineStr">
        <is>
          <t>Control Valves</t>
        </is>
      </c>
      <c r="B36" s="13" t="inlineStr">
        <is>
          <t>Cast Carbon Steel (ASTM A216 Gr. WCB) Investment Casting 3/2 Way Globe Type Pneumatic Cylinder Operated Control Valve, F/Ends ASA 150#</t>
        </is>
      </c>
      <c r="C36" s="13" t="inlineStr">
        <is>
          <t>Design: MFG STD | Body: ASTM A216 Gr WCB | Trims: S.S.304 (Trim-2) | F-F: MFG STD | Pressure: ASME B16.34 | Test: API 598 | Hydro: Body 32, Seat 23 Kg/Cm2</t>
        </is>
      </c>
      <c r="D36" s="13" t="inlineStr">
        <is>
          <t>WCB Body + SS304 Trim, Pneumatic Cylinder</t>
        </is>
      </c>
      <c r="E36" s="14" t="inlineStr">
        <is>
          <t>8"</t>
        </is>
      </c>
      <c r="F36" s="13" t="inlineStr"/>
      <c r="G36" s="13" t="inlineStr"/>
      <c r="H36" s="13" t="inlineStr">
        <is>
          <t>MFG STD</t>
        </is>
      </c>
      <c r="I36" s="13" t="inlineStr">
        <is>
          <t>Body 32, Seat 23 Kg/Cm2</t>
        </is>
      </c>
      <c r="J36" s="13" t="inlineStr">
        <is>
          <t>Nos</t>
        </is>
      </c>
      <c r="K36" s="15" t="n">
        <v>171965</v>
      </c>
      <c r="L36" s="3" t="inlineStr">
        <is>
          <t>Active</t>
        </is>
      </c>
      <c r="M36" s="13" t="inlineStr"/>
      <c r="N36" s="13" t="inlineStr"/>
    </row>
    <row r="37" ht="15" customHeight="1">
      <c r="A37" s="16" t="inlineStr">
        <is>
          <t>Gate Valves</t>
        </is>
      </c>
      <c r="B37" s="17" t="inlineStr">
        <is>
          <t>Forged Steel Outside Screw &amp; Yoke Type Bolted Bonnet Non Rotating Rising Spindle Gate Valve, Screwed Ends/ Socket Weld Ends/ Butt Weld, Hand Wheel Operated ASA 800#</t>
        </is>
      </c>
      <c r="C37" s="17" t="inlineStr">
        <is>
          <t>Design: API 602 | Pressure: ASME B16.34 | Test: API 598 | Hydro: Body 200, Seat 157 Kg/Cm2</t>
        </is>
      </c>
      <c r="D37" s="17" t="inlineStr">
        <is>
          <t>ASTM A105 + 13% Cr (Trim-1)</t>
        </is>
      </c>
      <c r="E37" s="18" t="inlineStr">
        <is>
          <t>1/2"</t>
        </is>
      </c>
      <c r="F37" s="17" t="inlineStr"/>
      <c r="G37" s="17" t="inlineStr"/>
      <c r="H37" s="17" t="inlineStr">
        <is>
          <t>API 602</t>
        </is>
      </c>
      <c r="I37" s="17" t="inlineStr">
        <is>
          <t>Body 200, Seat 157 Kg/Cm2</t>
        </is>
      </c>
      <c r="J37" s="17" t="inlineStr">
        <is>
          <t>Nos</t>
        </is>
      </c>
      <c r="K37" s="15" t="n">
        <v>1855</v>
      </c>
      <c r="L37" s="3" t="inlineStr">
        <is>
          <t>Active</t>
        </is>
      </c>
      <c r="M37" s="17" t="inlineStr"/>
      <c r="N37" s="17" t="inlineStr"/>
    </row>
    <row r="38" ht="15" customHeight="1">
      <c r="A38" s="12" t="inlineStr">
        <is>
          <t>Gate Valves</t>
        </is>
      </c>
      <c r="B38" s="13" t="inlineStr">
        <is>
          <t>Forged Steel Outside Screw &amp; Yoke Type Bolted Bonnet Non Rotating Rising Spindle Gate Valve, Screwed Ends/ Socket Weld Ends/ Butt Weld, Hand Wheel Operated ASA 800#</t>
        </is>
      </c>
      <c r="C38" s="13" t="inlineStr">
        <is>
          <t>Design: API 602 | Pressure: ASME B16.34 | Test: API 598 | Hydro: Body 200, Seat 157 Kg/Cm2</t>
        </is>
      </c>
      <c r="D38" s="13" t="inlineStr">
        <is>
          <t>ASTM A105 + 13% Cr (Trim-1)</t>
        </is>
      </c>
      <c r="E38" s="14" t="inlineStr">
        <is>
          <t>3/4"</t>
        </is>
      </c>
      <c r="F38" s="13" t="inlineStr"/>
      <c r="G38" s="13" t="inlineStr"/>
      <c r="H38" s="13" t="inlineStr">
        <is>
          <t>API 602</t>
        </is>
      </c>
      <c r="I38" s="13" t="inlineStr">
        <is>
          <t>Body 200, Seat 157 Kg/Cm2</t>
        </is>
      </c>
      <c r="J38" s="13" t="inlineStr">
        <is>
          <t>Nos</t>
        </is>
      </c>
      <c r="K38" s="15" t="n">
        <v>2055</v>
      </c>
      <c r="L38" s="3" t="inlineStr">
        <is>
          <t>Active</t>
        </is>
      </c>
      <c r="M38" s="13" t="inlineStr"/>
      <c r="N38" s="13" t="inlineStr"/>
    </row>
    <row r="39" ht="15" customHeight="1">
      <c r="A39" s="16" t="inlineStr">
        <is>
          <t>Gate Valves</t>
        </is>
      </c>
      <c r="B39" s="17" t="inlineStr">
        <is>
          <t>Forged Steel Outside Screw &amp; Yoke Type Bolted Bonnet Non Rotating Rising Spindle Gate Valve, Screwed Ends/ Socket Weld Ends/ Butt Weld, Hand Wheel Operated ASA 800#</t>
        </is>
      </c>
      <c r="C39" s="17" t="inlineStr">
        <is>
          <t>Design: API 602 | Pressure: ASME B16.34 | Test: API 598 | Hydro: Body 200, Seat 157 Kg/Cm2</t>
        </is>
      </c>
      <c r="D39" s="17" t="inlineStr">
        <is>
          <t>ASTM A105 + 13% Cr (Trim-1)</t>
        </is>
      </c>
      <c r="E39" s="18" t="inlineStr">
        <is>
          <t>1"</t>
        </is>
      </c>
      <c r="F39" s="17" t="inlineStr"/>
      <c r="G39" s="17" t="inlineStr"/>
      <c r="H39" s="17" t="inlineStr">
        <is>
          <t>API 602</t>
        </is>
      </c>
      <c r="I39" s="17" t="inlineStr">
        <is>
          <t>Body 200, Seat 157 Kg/Cm2</t>
        </is>
      </c>
      <c r="J39" s="17" t="inlineStr">
        <is>
          <t>Nos</t>
        </is>
      </c>
      <c r="K39" s="15" t="n">
        <v>2795</v>
      </c>
      <c r="L39" s="3" t="inlineStr">
        <is>
          <t>Active</t>
        </is>
      </c>
      <c r="M39" s="17" t="inlineStr"/>
      <c r="N39" s="17" t="inlineStr"/>
    </row>
    <row r="40" ht="15" customHeight="1">
      <c r="A40" s="12" t="inlineStr">
        <is>
          <t>Gate Valves</t>
        </is>
      </c>
      <c r="B40" s="13" t="inlineStr">
        <is>
          <t>Forged Steel Outside Screw &amp; Yoke Type Bolted Bonnet Non Rotating Rising Spindle Gate Valve, Screwed Ends/ Socket Weld Ends/ Butt Weld, Hand Wheel Operated ASA 800#</t>
        </is>
      </c>
      <c r="C40" s="13" t="inlineStr">
        <is>
          <t>Design: API 602 | Pressure: ASME B16.34 | Test: API 598 | Hydro: Body 200, Seat 157 Kg/Cm2</t>
        </is>
      </c>
      <c r="D40" s="13" t="inlineStr">
        <is>
          <t>ASTM A105 + 13% Cr (Trim-1)</t>
        </is>
      </c>
      <c r="E40" s="14" t="inlineStr">
        <is>
          <t>1.5"</t>
        </is>
      </c>
      <c r="F40" s="13" t="inlineStr"/>
      <c r="G40" s="13" t="inlineStr"/>
      <c r="H40" s="13" t="inlineStr">
        <is>
          <t>API 602</t>
        </is>
      </c>
      <c r="I40" s="13" t="inlineStr">
        <is>
          <t>Body 200, Seat 157 Kg/Cm2</t>
        </is>
      </c>
      <c r="J40" s="13" t="inlineStr">
        <is>
          <t>Nos</t>
        </is>
      </c>
      <c r="K40" s="15" t="n">
        <v>5555</v>
      </c>
      <c r="L40" s="3" t="inlineStr">
        <is>
          <t>Active</t>
        </is>
      </c>
      <c r="M40" s="13" t="inlineStr"/>
      <c r="N40" s="13" t="inlineStr"/>
    </row>
    <row r="41" ht="15" customHeight="1">
      <c r="A41" s="16" t="inlineStr">
        <is>
          <t>Gate Valves</t>
        </is>
      </c>
      <c r="B41" s="17" t="inlineStr">
        <is>
          <t>Forged Steel Outside Screw &amp; Yoke Type Bolted Bonnet Non Rotating Rising Spindle Gate Valve, Screwed Ends/ Socket Weld Ends/ Butt Weld, Hand Wheel Operated ASA 800#</t>
        </is>
      </c>
      <c r="C41" s="17" t="inlineStr">
        <is>
          <t>Design: API 602 | Pressure: ASME B16.34 | Test: API 598 | Hydro: Body 200, Seat 157 Kg/Cm2</t>
        </is>
      </c>
      <c r="D41" s="17" t="inlineStr">
        <is>
          <t>ASTM A105 + 13% Cr (Trim-1)</t>
        </is>
      </c>
      <c r="E41" s="18" t="inlineStr">
        <is>
          <t>2"</t>
        </is>
      </c>
      <c r="F41" s="17" t="inlineStr"/>
      <c r="G41" s="17" t="inlineStr"/>
      <c r="H41" s="17" t="inlineStr">
        <is>
          <t>API 602</t>
        </is>
      </c>
      <c r="I41" s="17" t="inlineStr">
        <is>
          <t>Body 200, Seat 157 Kg/Cm2</t>
        </is>
      </c>
      <c r="J41" s="17" t="inlineStr">
        <is>
          <t>Nos</t>
        </is>
      </c>
      <c r="K41" s="15" t="n">
        <v>7555</v>
      </c>
      <c r="L41" s="3" t="inlineStr">
        <is>
          <t>Active</t>
        </is>
      </c>
      <c r="M41" s="17" t="inlineStr"/>
      <c r="N41" s="17" t="inlineStr"/>
    </row>
    <row r="42" ht="15" customHeight="1">
      <c r="A42" s="24" t="inlineStr">
        <is>
          <t>Strainers</t>
        </is>
      </c>
      <c r="B42" s="13" t="inlineStr">
        <is>
          <t>Cast Carbon Steel (ASTM A216 Gr. WCB) "Y" Type Strainer with Bolted Cover, Flanged Ends ASA 150#</t>
        </is>
      </c>
      <c r="C42" s="13" t="inlineStr">
        <is>
          <t>Design: MFG STD | Body: ASTM A216 Gr WCB | Trims: S.S.304 | F-F: ASME B16.10 / DIN 3202 (Part-1) | Pressure: ASME B16.34 | Test: API 598 | Hydro: Body 32 Kg/Cm2</t>
        </is>
      </c>
      <c r="D42" s="13" t="inlineStr">
        <is>
          <t>WCB Body + SS304</t>
        </is>
      </c>
      <c r="E42" s="14" t="inlineStr">
        <is>
          <t>1"</t>
        </is>
      </c>
      <c r="F42" s="13" t="inlineStr"/>
      <c r="G42" s="13" t="inlineStr"/>
      <c r="H42" s="13" t="inlineStr">
        <is>
          <t>MFG STD</t>
        </is>
      </c>
      <c r="I42" s="13" t="inlineStr">
        <is>
          <t>Body 32 Kg/Cm2</t>
        </is>
      </c>
      <c r="J42" s="13" t="inlineStr">
        <is>
          <t>Nos</t>
        </is>
      </c>
      <c r="K42" s="15" t="n">
        <v>3955</v>
      </c>
      <c r="L42" s="3" t="inlineStr">
        <is>
          <t>Active</t>
        </is>
      </c>
      <c r="M42" s="13" t="inlineStr"/>
      <c r="N42" s="13" t="inlineStr"/>
    </row>
    <row r="43" ht="15" customHeight="1">
      <c r="A43" s="25" t="inlineStr">
        <is>
          <t>Strainers</t>
        </is>
      </c>
      <c r="B43" s="17" t="inlineStr">
        <is>
          <t>Cast Carbon Steel (ASTM A216 Gr. WCB) "Y" Type Strainer with Bolted Cover, Flanged Ends ASA 150#</t>
        </is>
      </c>
      <c r="C43" s="17" t="inlineStr">
        <is>
          <t>Design: MFG STD | Body: ASTM A216 Gr WCB | Trims: S.S.304 | F-F: ASME B16.10 / DIN 3202 (Part-1) | Pressure: ASME B16.34 | Test: API 598 | Hydro: Body 32 Kg/Cm2</t>
        </is>
      </c>
      <c r="D43" s="17" t="inlineStr">
        <is>
          <t>WCB Body + SS304</t>
        </is>
      </c>
      <c r="E43" s="18" t="inlineStr">
        <is>
          <t>1.5"</t>
        </is>
      </c>
      <c r="F43" s="17" t="inlineStr"/>
      <c r="G43" s="17" t="inlineStr"/>
      <c r="H43" s="17" t="inlineStr">
        <is>
          <t>MFG STD</t>
        </is>
      </c>
      <c r="I43" s="17" t="inlineStr">
        <is>
          <t>Body 32 Kg/Cm2</t>
        </is>
      </c>
      <c r="J43" s="17" t="inlineStr">
        <is>
          <t>Nos</t>
        </is>
      </c>
      <c r="K43" s="15" t="n">
        <v>5355</v>
      </c>
      <c r="L43" s="3" t="inlineStr">
        <is>
          <t>Active</t>
        </is>
      </c>
      <c r="M43" s="17" t="inlineStr"/>
      <c r="N43" s="17" t="inlineStr"/>
    </row>
    <row r="44" ht="15" customHeight="1">
      <c r="A44" s="24" t="inlineStr">
        <is>
          <t>Strainers</t>
        </is>
      </c>
      <c r="B44" s="13" t="inlineStr">
        <is>
          <t>Cast Carbon Steel (ASTM A216 Gr. WCB) "Y" Type Strainer with Bolted Cover, Flanged Ends ASA 150#</t>
        </is>
      </c>
      <c r="C44" s="13" t="inlineStr">
        <is>
          <t>Design: MFG STD | Body: ASTM A216 Gr WCB | Trims: S.S.304 | F-F: ASME B16.10 / DIN 3202 (Part-1) | Pressure: ASME B16.34 | Test: API 598 | Hydro: Body 32 Kg/Cm2</t>
        </is>
      </c>
      <c r="D44" s="13" t="inlineStr">
        <is>
          <t>WCB Body + SS304</t>
        </is>
      </c>
      <c r="E44" s="14" t="inlineStr">
        <is>
          <t>2"</t>
        </is>
      </c>
      <c r="F44" s="13" t="inlineStr"/>
      <c r="G44" s="13" t="inlineStr"/>
      <c r="H44" s="13" t="inlineStr">
        <is>
          <t>MFG STD</t>
        </is>
      </c>
      <c r="I44" s="13" t="inlineStr">
        <is>
          <t>Body 32 Kg/Cm2</t>
        </is>
      </c>
      <c r="J44" s="13" t="inlineStr">
        <is>
          <t>Nos</t>
        </is>
      </c>
      <c r="K44" s="15" t="n">
        <v>6955</v>
      </c>
      <c r="L44" s="3" t="inlineStr">
        <is>
          <t>Active</t>
        </is>
      </c>
      <c r="M44" s="13" t="inlineStr"/>
      <c r="N44" s="13" t="inlineStr"/>
    </row>
    <row r="45" ht="15" customHeight="1">
      <c r="A45" s="25" t="inlineStr">
        <is>
          <t>Strainers</t>
        </is>
      </c>
      <c r="B45" s="17" t="inlineStr">
        <is>
          <t>Cast Carbon Steel (ASTM A216 Gr. WCB) "Y" Type Strainer with Bolted Cover, Flanged Ends ASA 150#</t>
        </is>
      </c>
      <c r="C45" s="17" t="inlineStr">
        <is>
          <t>Design: MFG STD | Body: ASTM A216 Gr WCB | Trims: S.S.304 | F-F: ASME B16.10 / DIN 3202 (Part-1) | Pressure: ASME B16.34 | Test: API 598 | Hydro: Body 32 Kg/Cm2</t>
        </is>
      </c>
      <c r="D45" s="17" t="inlineStr">
        <is>
          <t>WCB Body + SS304</t>
        </is>
      </c>
      <c r="E45" s="18" t="inlineStr">
        <is>
          <t>2.5"</t>
        </is>
      </c>
      <c r="F45" s="17" t="inlineStr"/>
      <c r="G45" s="17" t="inlineStr"/>
      <c r="H45" s="17" t="inlineStr">
        <is>
          <t>MFG STD</t>
        </is>
      </c>
      <c r="I45" s="17" t="inlineStr">
        <is>
          <t>Body 32 Kg/Cm2</t>
        </is>
      </c>
      <c r="J45" s="17" t="inlineStr">
        <is>
          <t>Nos</t>
        </is>
      </c>
      <c r="K45" s="15" t="n">
        <v>9555</v>
      </c>
      <c r="L45" s="3" t="inlineStr">
        <is>
          <t>Active</t>
        </is>
      </c>
      <c r="M45" s="17" t="inlineStr"/>
      <c r="N45" s="17" t="inlineStr"/>
    </row>
    <row r="46" ht="15" customHeight="1">
      <c r="A46" s="24" t="inlineStr">
        <is>
          <t>Strainers</t>
        </is>
      </c>
      <c r="B46" s="13" t="inlineStr">
        <is>
          <t>Cast Carbon Steel (ASTM A216 Gr. WCB) "Y" Type Strainer with Bolted Cover, Flanged Ends ASA 150#</t>
        </is>
      </c>
      <c r="C46" s="13" t="inlineStr">
        <is>
          <t>Design: MFG STD | Body: ASTM A216 Gr WCB | Trims: S.S.304 | F-F: ASME B16.10 / DIN 3202 (Part-1) | Pressure: ASME B16.34 | Test: API 598 | Hydro: Body 32 Kg/Cm2</t>
        </is>
      </c>
      <c r="D46" s="13" t="inlineStr">
        <is>
          <t>WCB Body + SS304</t>
        </is>
      </c>
      <c r="E46" s="14" t="inlineStr">
        <is>
          <t>3"</t>
        </is>
      </c>
      <c r="F46" s="13" t="inlineStr"/>
      <c r="G46" s="13" t="inlineStr"/>
      <c r="H46" s="13" t="inlineStr">
        <is>
          <t>MFG STD</t>
        </is>
      </c>
      <c r="I46" s="13" t="inlineStr">
        <is>
          <t>Body 32 Kg/Cm2</t>
        </is>
      </c>
      <c r="J46" s="13" t="inlineStr">
        <is>
          <t>Nos</t>
        </is>
      </c>
      <c r="K46" s="15" t="n">
        <v>11955</v>
      </c>
      <c r="L46" s="3" t="inlineStr">
        <is>
          <t>Active</t>
        </is>
      </c>
      <c r="M46" s="13" t="inlineStr"/>
      <c r="N46" s="13" t="inlineStr"/>
    </row>
    <row r="47" ht="15" customHeight="1">
      <c r="A47" s="25" t="inlineStr">
        <is>
          <t>Strainers</t>
        </is>
      </c>
      <c r="B47" s="17" t="inlineStr">
        <is>
          <t>Cast Carbon Steel (ASTM A216 Gr. WCB) "Y" Type Strainer with Bolted Cover, Flanged Ends ASA 150#</t>
        </is>
      </c>
      <c r="C47" s="17" t="inlineStr">
        <is>
          <t>Design: MFG STD | Body: ASTM A216 Gr WCB | Trims: S.S.304 | F-F: ASME B16.10 / DIN 3202 (Part-1) | Pressure: ASME B16.34 | Test: API 598 | Hydro: Body 32 Kg/Cm2</t>
        </is>
      </c>
      <c r="D47" s="17" t="inlineStr">
        <is>
          <t>WCB Body + SS304</t>
        </is>
      </c>
      <c r="E47" s="18" t="inlineStr">
        <is>
          <t>4"</t>
        </is>
      </c>
      <c r="F47" s="17" t="inlineStr"/>
      <c r="G47" s="17" t="inlineStr"/>
      <c r="H47" s="17" t="inlineStr">
        <is>
          <t>MFG STD</t>
        </is>
      </c>
      <c r="I47" s="17" t="inlineStr">
        <is>
          <t>Body 32 Kg/Cm2</t>
        </is>
      </c>
      <c r="J47" s="17" t="inlineStr">
        <is>
          <t>Nos</t>
        </is>
      </c>
      <c r="K47" s="15" t="n">
        <v>19655</v>
      </c>
      <c r="L47" s="3" t="inlineStr">
        <is>
          <t>Active</t>
        </is>
      </c>
      <c r="M47" s="17" t="inlineStr"/>
      <c r="N47" s="17" t="inlineStr"/>
    </row>
    <row r="48" ht="15" customHeight="1">
      <c r="A48" s="24" t="inlineStr">
        <is>
          <t>Strainers</t>
        </is>
      </c>
      <c r="B48" s="13" t="inlineStr">
        <is>
          <t>Cast Carbon Steel (ASTM A216 Gr. WCB) "Y" Type Strainer with Bolted Cover, Flanged Ends ASA 150#</t>
        </is>
      </c>
      <c r="C48" s="13" t="inlineStr">
        <is>
          <t>Design: MFG STD | Body: ASTM A216 Gr WCB | Trims: S.S.304 | F-F: ASME B16.10 / DIN 3202 (Part-1) | Pressure: ASME B16.34 | Test: API 598 | Hydro: Body 32 Kg/Cm2</t>
        </is>
      </c>
      <c r="D48" s="13" t="inlineStr">
        <is>
          <t>WCB Body + SS304</t>
        </is>
      </c>
      <c r="E48" s="14" t="inlineStr">
        <is>
          <t>5"</t>
        </is>
      </c>
      <c r="F48" s="13" t="inlineStr"/>
      <c r="G48" s="13" t="inlineStr"/>
      <c r="H48" s="13" t="inlineStr">
        <is>
          <t>MFG STD</t>
        </is>
      </c>
      <c r="I48" s="13" t="inlineStr">
        <is>
          <t>Body 32 Kg/Cm2</t>
        </is>
      </c>
      <c r="J48" s="13" t="inlineStr">
        <is>
          <t>Nos</t>
        </is>
      </c>
      <c r="K48" s="15" t="n">
        <v>25555</v>
      </c>
      <c r="L48" s="3" t="inlineStr">
        <is>
          <t>Active</t>
        </is>
      </c>
      <c r="M48" s="13" t="inlineStr"/>
      <c r="N48" s="13" t="inlineStr"/>
    </row>
    <row r="49" ht="15" customHeight="1">
      <c r="A49" s="25" t="inlineStr">
        <is>
          <t>Strainers</t>
        </is>
      </c>
      <c r="B49" s="17" t="inlineStr">
        <is>
          <t>Cast Carbon Steel (ASTM A216 Gr. WCB) "Y" Type Strainer with Bolted Cover, Flanged Ends ASA 150#</t>
        </is>
      </c>
      <c r="C49" s="17" t="inlineStr">
        <is>
          <t>Design: MFG STD | Body: ASTM A216 Gr WCB | Trims: S.S.304 | F-F: ASME B16.10 / DIN 3202 (Part-1) | Pressure: ASME B16.34 | Test: API 598 | Hydro: Body 32 Kg/Cm2</t>
        </is>
      </c>
      <c r="D49" s="17" t="inlineStr">
        <is>
          <t>WCB Body + SS304</t>
        </is>
      </c>
      <c r="E49" s="18" t="inlineStr">
        <is>
          <t>6"</t>
        </is>
      </c>
      <c r="F49" s="17" t="inlineStr"/>
      <c r="G49" s="17" t="inlineStr"/>
      <c r="H49" s="17" t="inlineStr">
        <is>
          <t>MFG STD</t>
        </is>
      </c>
      <c r="I49" s="17" t="inlineStr">
        <is>
          <t>Body 32 Kg/Cm2</t>
        </is>
      </c>
      <c r="J49" s="17" t="inlineStr">
        <is>
          <t>Nos</t>
        </is>
      </c>
      <c r="K49" s="15" t="n">
        <v>35155</v>
      </c>
      <c r="L49" s="3" t="inlineStr">
        <is>
          <t>Active</t>
        </is>
      </c>
      <c r="M49" s="17" t="inlineStr"/>
      <c r="N49" s="17" t="inlineStr"/>
    </row>
    <row r="50" ht="15" customHeight="1">
      <c r="A50" s="24" t="inlineStr">
        <is>
          <t>Strainers</t>
        </is>
      </c>
      <c r="B50" s="13" t="inlineStr">
        <is>
          <t>Cast Carbon Steel (ASTM A216 Gr. WCB) "Y" Type Strainer with Bolted Cover, Flanged Ends ASA 150#</t>
        </is>
      </c>
      <c r="C50" s="13" t="inlineStr">
        <is>
          <t>Design: MFG STD | Body: ASTM A216 Gr WCB | Trims: S.S.304 | F-F: ASME B16.10 / DIN 3202 (Part-1) | Pressure: ASME B16.34 | Test: API 598 | Hydro: Body 32 Kg/Cm2</t>
        </is>
      </c>
      <c r="D50" s="13" t="inlineStr">
        <is>
          <t>WCB Body + SS304</t>
        </is>
      </c>
      <c r="E50" s="14" t="inlineStr">
        <is>
          <t>8"</t>
        </is>
      </c>
      <c r="F50" s="13" t="inlineStr"/>
      <c r="G50" s="13" t="inlineStr"/>
      <c r="H50" s="13" t="inlineStr">
        <is>
          <t>MFG STD</t>
        </is>
      </c>
      <c r="I50" s="13" t="inlineStr">
        <is>
          <t>Body 32 Kg/Cm2</t>
        </is>
      </c>
      <c r="J50" s="13" t="inlineStr">
        <is>
          <t>Nos</t>
        </is>
      </c>
      <c r="K50" s="15" t="n">
        <v>59655</v>
      </c>
      <c r="L50" s="3" t="inlineStr">
        <is>
          <t>Active</t>
        </is>
      </c>
      <c r="M50" s="13" t="inlineStr"/>
      <c r="N50" s="13" t="inlineStr"/>
    </row>
    <row r="51" ht="15" customHeight="1">
      <c r="A51" s="25" t="inlineStr">
        <is>
          <t>Strainers</t>
        </is>
      </c>
      <c r="B51" s="17" t="inlineStr">
        <is>
          <t>Cast Carbon Steel (ASTM A216 Gr. WCB) "Y" Type Strainer with Bolted Cover, Flanged Ends ASA 150#</t>
        </is>
      </c>
      <c r="C51" s="17" t="inlineStr">
        <is>
          <t>Design: MFG STD | Body: ASTM A216 Gr WCB | Trims: S.S.304 | F-F: ASME B16.10 / DIN 3202 (Part-1) | Pressure: ASME B16.34 | Test: API 598 | Hydro: Body 32 Kg/Cm2</t>
        </is>
      </c>
      <c r="D51" s="17" t="inlineStr">
        <is>
          <t>WCB Body + SS304</t>
        </is>
      </c>
      <c r="E51" s="18" t="inlineStr">
        <is>
          <t>10"</t>
        </is>
      </c>
      <c r="F51" s="17" t="inlineStr"/>
      <c r="G51" s="17" t="inlineStr"/>
      <c r="H51" s="17" t="inlineStr">
        <is>
          <t>MFG STD</t>
        </is>
      </c>
      <c r="I51" s="17" t="inlineStr">
        <is>
          <t>Body 32 Kg/Cm2</t>
        </is>
      </c>
      <c r="J51" s="17" t="inlineStr">
        <is>
          <t>Nos</t>
        </is>
      </c>
      <c r="K51" s="15" t="n">
        <v>95655</v>
      </c>
      <c r="L51" s="3" t="inlineStr">
        <is>
          <t>Active</t>
        </is>
      </c>
      <c r="M51" s="17" t="inlineStr"/>
      <c r="N51" s="17" t="inlineStr"/>
    </row>
    <row r="52" ht="15" customHeight="1">
      <c r="A52" s="26" t="inlineStr">
        <is>
          <t>Check Valves</t>
        </is>
      </c>
      <c r="B52" s="13" t="inlineStr">
        <is>
          <t>Cast Carbon Steel (ASTM A216 Gr. WCB) Swing Type Non Return Valve with Bolted Cover, Flanged Ends ASA 150#</t>
        </is>
      </c>
      <c r="C52" s="13" t="inlineStr">
        <is>
          <t>Design: BS 1868 / API 602 | Body: ASTM A216 Gr WCB | Trims: 13% Cr SS410 (Trim-1) | F-F: ASME B16.10 | Pressure: ASME B16.34 | Test: API 598 | Hydro: Body 32, Seat 23 Kg/Cm2</t>
        </is>
      </c>
      <c r="D52" s="13" t="inlineStr">
        <is>
          <t>ASTM A216 Gr WCB + 13% Cr SS410</t>
        </is>
      </c>
      <c r="E52" s="14" t="inlineStr">
        <is>
          <t>1"</t>
        </is>
      </c>
      <c r="F52" s="13" t="inlineStr"/>
      <c r="G52" s="13" t="inlineStr"/>
      <c r="H52" s="13" t="inlineStr">
        <is>
          <t>BS 1868 / API 602</t>
        </is>
      </c>
      <c r="I52" s="13" t="inlineStr">
        <is>
          <t>Body 32, Seat 23 Kg/Cm2</t>
        </is>
      </c>
      <c r="J52" s="13" t="inlineStr">
        <is>
          <t>Nos</t>
        </is>
      </c>
      <c r="K52" s="15" t="n">
        <v>4955</v>
      </c>
      <c r="L52" s="3" t="inlineStr">
        <is>
          <t>Active</t>
        </is>
      </c>
      <c r="M52" s="13" t="inlineStr"/>
      <c r="N52" s="13" t="inlineStr"/>
    </row>
    <row r="53" ht="15" customHeight="1">
      <c r="A53" s="27" t="inlineStr">
        <is>
          <t>Check Valves</t>
        </is>
      </c>
      <c r="B53" s="17" t="inlineStr">
        <is>
          <t>Cast Carbon Steel (ASTM A216 Gr. WCB) Swing Type Non Return Valve with Bolted Cover, Flanged Ends ASA 150#</t>
        </is>
      </c>
      <c r="C53" s="17" t="inlineStr">
        <is>
          <t>Design: BS 1868 / API 602 | Body: ASTM A216 Gr WCB | Trims: 13% Cr SS410 (Trim-1) | F-F: ASME B16.10 | Pressure: ASME B16.34 | Test: API 598 | Hydro: Body 32, Seat 23 Kg/Cm2</t>
        </is>
      </c>
      <c r="D53" s="17" t="inlineStr">
        <is>
          <t>ASTM A216 Gr WCB + 13% Cr SS410</t>
        </is>
      </c>
      <c r="E53" s="18" t="inlineStr">
        <is>
          <t>1.5"</t>
        </is>
      </c>
      <c r="F53" s="17" t="inlineStr"/>
      <c r="G53" s="17" t="inlineStr"/>
      <c r="H53" s="17" t="inlineStr">
        <is>
          <t>BS 1868 / API 602</t>
        </is>
      </c>
      <c r="I53" s="17" t="inlineStr">
        <is>
          <t>Body 32, Seat 23 Kg/Cm2</t>
        </is>
      </c>
      <c r="J53" s="17" t="inlineStr">
        <is>
          <t>Nos</t>
        </is>
      </c>
      <c r="K53" s="15" t="n">
        <v>6955</v>
      </c>
      <c r="L53" s="3" t="inlineStr">
        <is>
          <t>Active</t>
        </is>
      </c>
      <c r="M53" s="17" t="inlineStr"/>
      <c r="N53" s="17" t="inlineStr"/>
    </row>
    <row r="54" ht="15" customHeight="1">
      <c r="A54" s="26" t="inlineStr">
        <is>
          <t>Check Valves</t>
        </is>
      </c>
      <c r="B54" s="13" t="inlineStr">
        <is>
          <t>Cast Carbon Steel (ASTM A216 Gr. WCB) Swing Type Non Return Valve with Bolted Cover, Flanged Ends ASA 150#</t>
        </is>
      </c>
      <c r="C54" s="13" t="inlineStr">
        <is>
          <t>Design: BS 1868 / API 602 | Body: ASTM A216 Gr WCB | Trims: 13% Cr SS410 (Trim-1) | F-F: ASME B16.10 | Pressure: ASME B16.34 | Test: API 598 | Hydro: Body 32, Seat 23 Kg/Cm2</t>
        </is>
      </c>
      <c r="D54" s="13" t="inlineStr">
        <is>
          <t>ASTM A216 Gr WCB + 13% Cr SS410</t>
        </is>
      </c>
      <c r="E54" s="14" t="inlineStr">
        <is>
          <t>2"</t>
        </is>
      </c>
      <c r="F54" s="13" t="inlineStr"/>
      <c r="G54" s="13" t="inlineStr"/>
      <c r="H54" s="13" t="inlineStr">
        <is>
          <t>BS 1868 / API 602</t>
        </is>
      </c>
      <c r="I54" s="13" t="inlineStr">
        <is>
          <t>Body 32, Seat 23 Kg/Cm2</t>
        </is>
      </c>
      <c r="J54" s="13" t="inlineStr">
        <is>
          <t>Nos</t>
        </is>
      </c>
      <c r="K54" s="15" t="n">
        <v>8755</v>
      </c>
      <c r="L54" s="3" t="inlineStr">
        <is>
          <t>Active</t>
        </is>
      </c>
      <c r="M54" s="13" t="inlineStr"/>
      <c r="N54" s="13" t="inlineStr"/>
    </row>
    <row r="55" ht="15" customHeight="1">
      <c r="A55" s="27" t="inlineStr">
        <is>
          <t>Check Valves</t>
        </is>
      </c>
      <c r="B55" s="17" t="inlineStr">
        <is>
          <t>Cast Carbon Steel (ASTM A216 Gr. WCB) Swing Type Non Return Valve with Bolted Cover, Flanged Ends ASA 150#</t>
        </is>
      </c>
      <c r="C55" s="17" t="inlineStr">
        <is>
          <t>Design: BS 1868 / API 602 | Body: ASTM A216 Gr WCB | Trims: 13% Cr SS410 (Trim-1) | F-F: ASME B16.10 | Pressure: ASME B16.34 | Test: API 598 | Hydro: Body 32, Seat 23 Kg/Cm2</t>
        </is>
      </c>
      <c r="D55" s="17" t="inlineStr">
        <is>
          <t>ASTM A216 Gr WCB + 13% Cr SS410</t>
        </is>
      </c>
      <c r="E55" s="18" t="inlineStr">
        <is>
          <t>2.5"</t>
        </is>
      </c>
      <c r="F55" s="17" t="inlineStr"/>
      <c r="G55" s="17" t="inlineStr"/>
      <c r="H55" s="17" t="inlineStr">
        <is>
          <t>BS 1868 / API 602</t>
        </is>
      </c>
      <c r="I55" s="17" t="inlineStr">
        <is>
          <t>Body 32, Seat 23 Kg/Cm2</t>
        </is>
      </c>
      <c r="J55" s="17" t="inlineStr">
        <is>
          <t>Nos</t>
        </is>
      </c>
      <c r="K55" s="15" t="n">
        <v>12155</v>
      </c>
      <c r="L55" s="3" t="inlineStr">
        <is>
          <t>Active</t>
        </is>
      </c>
      <c r="M55" s="17" t="inlineStr"/>
      <c r="N55" s="17" t="inlineStr"/>
    </row>
    <row r="56" ht="15" customHeight="1">
      <c r="A56" s="26" t="inlineStr">
        <is>
          <t>Check Valves</t>
        </is>
      </c>
      <c r="B56" s="13" t="inlineStr">
        <is>
          <t>Cast Carbon Steel (ASTM A216 Gr. WCB) Swing Type Non Return Valve with Bolted Cover, Flanged Ends ASA 150#</t>
        </is>
      </c>
      <c r="C56" s="13" t="inlineStr">
        <is>
          <t>Design: BS 1868 / API 602 | Body: ASTM A216 Gr WCB | Trims: 13% Cr SS410 (Trim-1) | F-F: ASME B16.10 | Pressure: ASME B16.34 | Test: API 598 | Hydro: Body 32, Seat 23 Kg/Cm2</t>
        </is>
      </c>
      <c r="D56" s="13" t="inlineStr">
        <is>
          <t>ASTM A216 Gr WCB + 13% Cr SS410</t>
        </is>
      </c>
      <c r="E56" s="14" t="inlineStr">
        <is>
          <t>3"</t>
        </is>
      </c>
      <c r="F56" s="13" t="inlineStr"/>
      <c r="G56" s="13" t="inlineStr"/>
      <c r="H56" s="13" t="inlineStr">
        <is>
          <t>BS 1868 / API 602</t>
        </is>
      </c>
      <c r="I56" s="13" t="inlineStr">
        <is>
          <t>Body 32, Seat 23 Kg/Cm2</t>
        </is>
      </c>
      <c r="J56" s="13" t="inlineStr">
        <is>
          <t>Nos</t>
        </is>
      </c>
      <c r="K56" s="15" t="n">
        <v>14955</v>
      </c>
      <c r="L56" s="3" t="inlineStr">
        <is>
          <t>Active</t>
        </is>
      </c>
      <c r="M56" s="13" t="inlineStr"/>
      <c r="N56" s="13" t="inlineStr"/>
    </row>
    <row r="57" ht="15" customHeight="1">
      <c r="A57" s="27" t="inlineStr">
        <is>
          <t>Check Valves</t>
        </is>
      </c>
      <c r="B57" s="17" t="inlineStr">
        <is>
          <t>Cast Carbon Steel (ASTM A216 Gr. WCB) Swing Type Non Return Valve with Bolted Cover, Flanged Ends ASA 150#</t>
        </is>
      </c>
      <c r="C57" s="17" t="inlineStr">
        <is>
          <t>Design: BS 1868 / API 602 | Body: ASTM A216 Gr WCB | Trims: 13% Cr SS410 (Trim-1) | F-F: ASME B16.10 | Pressure: ASME B16.34 | Test: API 598 | Hydro: Body 32, Seat 23 Kg/Cm2</t>
        </is>
      </c>
      <c r="D57" s="17" t="inlineStr">
        <is>
          <t>ASTM A216 Gr WCB + 13% Cr SS410</t>
        </is>
      </c>
      <c r="E57" s="18" t="inlineStr">
        <is>
          <t>4"</t>
        </is>
      </c>
      <c r="F57" s="17" t="inlineStr"/>
      <c r="G57" s="17" t="inlineStr"/>
      <c r="H57" s="17" t="inlineStr">
        <is>
          <t>BS 1868 / API 602</t>
        </is>
      </c>
      <c r="I57" s="17" t="inlineStr">
        <is>
          <t>Body 32, Seat 23 Kg/Cm2</t>
        </is>
      </c>
      <c r="J57" s="17" t="inlineStr">
        <is>
          <t>Nos</t>
        </is>
      </c>
      <c r="K57" s="15" t="n">
        <v>21955</v>
      </c>
      <c r="L57" s="3" t="inlineStr">
        <is>
          <t>Active</t>
        </is>
      </c>
      <c r="M57" s="17" t="inlineStr"/>
      <c r="N57" s="17" t="inlineStr"/>
    </row>
    <row r="58" ht="15" customHeight="1">
      <c r="A58" s="26" t="inlineStr">
        <is>
          <t>Check Valves</t>
        </is>
      </c>
      <c r="B58" s="13" t="inlineStr">
        <is>
          <t>Cast Carbon Steel (ASTM A216 Gr. WCB) Swing Type Non Return Valve with Bolted Cover, Flanged Ends ASA 150#</t>
        </is>
      </c>
      <c r="C58" s="13" t="inlineStr">
        <is>
          <t>Design: BS 1868 / API 602 | Body: ASTM A216 Gr WCB | Trims: 13% Cr SS410 (Trim-1) | F-F: ASME B16.10 | Pressure: ASME B16.34 | Test: API 598 | Hydro: Body 32, Seat 23 Kg/Cm2</t>
        </is>
      </c>
      <c r="D58" s="13" t="inlineStr">
        <is>
          <t>ASTM A216 Gr WCB + 13% Cr SS410</t>
        </is>
      </c>
      <c r="E58" s="14" t="inlineStr">
        <is>
          <t>5"</t>
        </is>
      </c>
      <c r="F58" s="13" t="inlineStr"/>
      <c r="G58" s="13" t="inlineStr"/>
      <c r="H58" s="13" t="inlineStr">
        <is>
          <t>BS 1868 / API 602</t>
        </is>
      </c>
      <c r="I58" s="13" t="inlineStr">
        <is>
          <t>Body 32, Seat 23 Kg/Cm2</t>
        </is>
      </c>
      <c r="J58" s="13" t="inlineStr">
        <is>
          <t>Nos</t>
        </is>
      </c>
      <c r="K58" s="15" t="n">
        <v>31955</v>
      </c>
      <c r="L58" s="3" t="inlineStr">
        <is>
          <t>Active</t>
        </is>
      </c>
      <c r="M58" s="13" t="inlineStr"/>
      <c r="N58" s="13" t="inlineStr"/>
    </row>
    <row r="59" ht="15" customHeight="1">
      <c r="A59" s="27" t="inlineStr">
        <is>
          <t>Check Valves</t>
        </is>
      </c>
      <c r="B59" s="17" t="inlineStr">
        <is>
          <t>Cast Carbon Steel (ASTM A216 Gr. WCB) Swing Type Non Return Valve with Bolted Cover, Flanged Ends ASA 150#</t>
        </is>
      </c>
      <c r="C59" s="17" t="inlineStr">
        <is>
          <t>Design: BS 1868 / API 602 | Body: ASTM A216 Gr WCB | Trims: 13% Cr SS410 (Trim-1) | F-F: ASME B16.10 | Pressure: ASME B16.34 | Test: API 598 | Hydro: Body 32, Seat 23 Kg/Cm2</t>
        </is>
      </c>
      <c r="D59" s="17" t="inlineStr">
        <is>
          <t>ASTM A216 Gr WCB + 13% Cr SS410</t>
        </is>
      </c>
      <c r="E59" s="18" t="inlineStr">
        <is>
          <t>6"</t>
        </is>
      </c>
      <c r="F59" s="17" t="inlineStr"/>
      <c r="G59" s="17" t="inlineStr"/>
      <c r="H59" s="17" t="inlineStr">
        <is>
          <t>BS 1868 / API 602</t>
        </is>
      </c>
      <c r="I59" s="17" t="inlineStr">
        <is>
          <t>Body 32, Seat 23 Kg/Cm2</t>
        </is>
      </c>
      <c r="J59" s="17" t="inlineStr">
        <is>
          <t>Nos</t>
        </is>
      </c>
      <c r="K59" s="15" t="n">
        <v>37555</v>
      </c>
      <c r="L59" s="3" t="inlineStr">
        <is>
          <t>Active</t>
        </is>
      </c>
      <c r="M59" s="17" t="inlineStr"/>
      <c r="N59" s="17" t="inlineStr"/>
    </row>
    <row r="60" ht="15" customHeight="1">
      <c r="A60" s="26" t="inlineStr">
        <is>
          <t>Check Valves</t>
        </is>
      </c>
      <c r="B60" s="13" t="inlineStr">
        <is>
          <t>Cast Carbon Steel (ASTM A216 Gr. WCB) Swing Type Non Return Valve with Bolted Cover, Flanged Ends ASA 150#</t>
        </is>
      </c>
      <c r="C60" s="13" t="inlineStr">
        <is>
          <t>Design: BS 1868 / API 602 | Body: ASTM A216 Gr WCB | Trims: 13% Cr SS410 (Trim-1) | F-F: ASME B16.10 | Pressure: ASME B16.34 | Test: API 598 | Hydro: Body 32, Seat 23 Kg/Cm2</t>
        </is>
      </c>
      <c r="D60" s="13" t="inlineStr">
        <is>
          <t>ASTM A216 Gr WCB + 13% Cr SS410</t>
        </is>
      </c>
      <c r="E60" s="14" t="inlineStr">
        <is>
          <t>8"</t>
        </is>
      </c>
      <c r="F60" s="13" t="inlineStr"/>
      <c r="G60" s="13" t="inlineStr"/>
      <c r="H60" s="13" t="inlineStr">
        <is>
          <t>BS 1868 / API 602</t>
        </is>
      </c>
      <c r="I60" s="13" t="inlineStr">
        <is>
          <t>Body 32, Seat 23 Kg/Cm2</t>
        </is>
      </c>
      <c r="J60" s="13" t="inlineStr">
        <is>
          <t>Nos</t>
        </is>
      </c>
      <c r="K60" s="15" t="n">
        <v>59155</v>
      </c>
      <c r="L60" s="3" t="inlineStr">
        <is>
          <t>Active</t>
        </is>
      </c>
      <c r="M60" s="13" t="inlineStr"/>
      <c r="N60" s="13" t="inlineStr"/>
    </row>
    <row r="61" ht="15" customHeight="1">
      <c r="A61" s="27" t="inlineStr">
        <is>
          <t>Check Valves</t>
        </is>
      </c>
      <c r="B61" s="17" t="inlineStr">
        <is>
          <t>Cast Carbon Steel (ASTM A216 Gr. WCB) Swing Type Non Return Valve with Bolted Cover, Flanged Ends ASA 150#</t>
        </is>
      </c>
      <c r="C61" s="17" t="inlineStr">
        <is>
          <t>Design: BS 1868 / API 602 | Body: ASTM A216 Gr WCB | Trims: 13% Cr SS410 (Trim-1) | F-F: ASME B16.10 | Pressure: ASME B16.34 | Test: API 598 | Hydro: Body 32, Seat 23 Kg/Cm2</t>
        </is>
      </c>
      <c r="D61" s="17" t="inlineStr">
        <is>
          <t>ASTM A216 Gr WCB + 13% Cr SS410</t>
        </is>
      </c>
      <c r="E61" s="18" t="inlineStr">
        <is>
          <t>10"</t>
        </is>
      </c>
      <c r="F61" s="17" t="inlineStr"/>
      <c r="G61" s="17" t="inlineStr"/>
      <c r="H61" s="17" t="inlineStr">
        <is>
          <t>BS 1868 / API 602</t>
        </is>
      </c>
      <c r="I61" s="17" t="inlineStr">
        <is>
          <t>Body 32, Seat 23 Kg/Cm2</t>
        </is>
      </c>
      <c r="J61" s="17" t="inlineStr">
        <is>
          <t>Nos</t>
        </is>
      </c>
      <c r="K61" s="15" t="n">
        <v>96555</v>
      </c>
      <c r="L61" s="3" t="inlineStr">
        <is>
          <t>Active</t>
        </is>
      </c>
      <c r="M61" s="17" t="inlineStr"/>
      <c r="N61" s="17" t="inlineStr"/>
    </row>
    <row r="62" ht="15" customHeight="1">
      <c r="A62" s="28" t="inlineStr">
        <is>
          <t>Safety Valves</t>
        </is>
      </c>
      <c r="B62" s="13" t="inlineStr">
        <is>
          <t>Cast Carbon Steel (ASTM A216 Gr. WCB) Globe Type Safety Valve, Flanged End ASA 150#</t>
        </is>
      </c>
      <c r="C62" s="13" t="inlineStr">
        <is>
          <t>Design: BS 1873 | Body: ASTM A216 Gr WCB | Trims: 13% Cr SS410 (Trim-1) | F-F: ASME B16.10 | Pressure: ASME B16.34 | Test: API 598 | Hydro: Body 32, Seat 23 Kg/Cm2</t>
        </is>
      </c>
      <c r="D62" s="13" t="inlineStr">
        <is>
          <t>ASTM A105 + 13% Cr (Trim-1)</t>
        </is>
      </c>
      <c r="E62" s="14" t="inlineStr">
        <is>
          <t>1"</t>
        </is>
      </c>
      <c r="F62" s="13" t="inlineStr"/>
      <c r="G62" s="13" t="inlineStr"/>
      <c r="H62" s="13" t="inlineStr">
        <is>
          <t>BS 1873</t>
        </is>
      </c>
      <c r="I62" s="13" t="inlineStr">
        <is>
          <t>Body 32, Seat 23 Kg/Cm2</t>
        </is>
      </c>
      <c r="J62" s="13" t="inlineStr">
        <is>
          <t>Nos</t>
        </is>
      </c>
      <c r="K62" s="19" t="inlineStr">
        <is>
          <t>On Request</t>
        </is>
      </c>
      <c r="L62" s="3" t="inlineStr">
        <is>
          <t>Active</t>
        </is>
      </c>
      <c r="M62" s="13" t="inlineStr"/>
      <c r="N62" s="13" t="inlineStr"/>
    </row>
    <row r="63" ht="15" customHeight="1">
      <c r="A63" s="29" t="inlineStr">
        <is>
          <t>Safety Valves</t>
        </is>
      </c>
      <c r="B63" s="17" t="inlineStr">
        <is>
          <t>Cast Carbon Steel (ASTM A216 Gr. WCB) Globe Type Safety Valve, Flanged End ASA 150#</t>
        </is>
      </c>
      <c r="C63" s="17" t="inlineStr">
        <is>
          <t>Design: BS 1873 | Body: ASTM A216 Gr WCB | Trims: 13% Cr SS410 (Trim-1) | F-F: ASME B16.10 | Pressure: ASME B16.34 | Test: API 598 | Hydro: Body 32, Seat 23 Kg/Cm2</t>
        </is>
      </c>
      <c r="D63" s="17" t="inlineStr">
        <is>
          <t>ASTM A105 + 13% Cr (Trim-1)</t>
        </is>
      </c>
      <c r="E63" s="18" t="inlineStr">
        <is>
          <t>1.5"</t>
        </is>
      </c>
      <c r="F63" s="17" t="inlineStr"/>
      <c r="G63" s="17" t="inlineStr"/>
      <c r="H63" s="17" t="inlineStr">
        <is>
          <t>BS 1873</t>
        </is>
      </c>
      <c r="I63" s="17" t="inlineStr">
        <is>
          <t>Body 32, Seat 23 Kg/Cm2</t>
        </is>
      </c>
      <c r="J63" s="17" t="inlineStr">
        <is>
          <t>Nos</t>
        </is>
      </c>
      <c r="K63" s="15" t="n">
        <v>13155</v>
      </c>
      <c r="L63" s="3" t="inlineStr">
        <is>
          <t>Active</t>
        </is>
      </c>
      <c r="M63" s="17" t="inlineStr"/>
      <c r="N63" s="17" t="inlineStr"/>
    </row>
    <row r="64" ht="15" customHeight="1">
      <c r="A64" s="28" t="inlineStr">
        <is>
          <t>Safety Valves</t>
        </is>
      </c>
      <c r="B64" s="13" t="inlineStr">
        <is>
          <t>Cast Carbon Steel (ASTM A216 Gr. WCB) Globe Type Safety Valve, Flanged End ASA 150#</t>
        </is>
      </c>
      <c r="C64" s="13" t="inlineStr">
        <is>
          <t>Design: BS 1873 | Body: ASTM A216 Gr WCB | Trims: 13% Cr SS410 (Trim-1) | F-F: ASME B16.10 | Pressure: ASME B16.34 | Test: API 598 | Hydro: Body 32, Seat 23 Kg/Cm2</t>
        </is>
      </c>
      <c r="D64" s="13" t="inlineStr">
        <is>
          <t>ASTM A105 + 13% Cr (Trim-1)</t>
        </is>
      </c>
      <c r="E64" s="14" t="inlineStr">
        <is>
          <t>2"</t>
        </is>
      </c>
      <c r="F64" s="13" t="inlineStr"/>
      <c r="G64" s="13" t="inlineStr"/>
      <c r="H64" s="13" t="inlineStr">
        <is>
          <t>BS 1873</t>
        </is>
      </c>
      <c r="I64" s="13" t="inlineStr">
        <is>
          <t>Body 32, Seat 23 Kg/Cm2</t>
        </is>
      </c>
      <c r="J64" s="13" t="inlineStr">
        <is>
          <t>Nos</t>
        </is>
      </c>
      <c r="K64" s="15" t="n">
        <v>15155</v>
      </c>
      <c r="L64" s="3" t="inlineStr">
        <is>
          <t>Active</t>
        </is>
      </c>
      <c r="M64" s="13" t="inlineStr"/>
      <c r="N64" s="13" t="inlineStr"/>
    </row>
    <row r="65" ht="15" customHeight="1">
      <c r="A65" s="29" t="inlineStr">
        <is>
          <t>Safety Valves</t>
        </is>
      </c>
      <c r="B65" s="17" t="inlineStr">
        <is>
          <t>Cast Carbon Steel (ASTM A216 Gr. WCB) Globe Type Safety Valve, Flanged End ASA 150#</t>
        </is>
      </c>
      <c r="C65" s="17" t="inlineStr">
        <is>
          <t>Design: BS 1873 | Body: ASTM A216 Gr WCB | Trims: 13% Cr SS410 (Trim-1) | F-F: ASME B16.10 | Pressure: ASME B16.34 | Test: API 598 | Hydro: Body 32, Seat 23 Kg/Cm2</t>
        </is>
      </c>
      <c r="D65" s="17" t="inlineStr">
        <is>
          <t>ASTM A105 + 13% Cr (Trim-1)</t>
        </is>
      </c>
      <c r="E65" s="18" t="inlineStr">
        <is>
          <t>3"</t>
        </is>
      </c>
      <c r="F65" s="17" t="inlineStr"/>
      <c r="G65" s="17" t="inlineStr"/>
      <c r="H65" s="17" t="inlineStr">
        <is>
          <t>BS 1873</t>
        </is>
      </c>
      <c r="I65" s="17" t="inlineStr">
        <is>
          <t>Body 32, Seat 23 Kg/Cm2</t>
        </is>
      </c>
      <c r="J65" s="17" t="inlineStr">
        <is>
          <t>Nos</t>
        </is>
      </c>
      <c r="K65" s="15" t="n">
        <v>25155</v>
      </c>
      <c r="L65" s="3" t="inlineStr">
        <is>
          <t>Active</t>
        </is>
      </c>
      <c r="M65" s="17" t="inlineStr"/>
      <c r="N65" s="17" t="inlineStr"/>
    </row>
    <row r="66" ht="15" customHeight="1">
      <c r="A66" s="28" t="inlineStr">
        <is>
          <t>Safety Valves</t>
        </is>
      </c>
      <c r="B66" s="13" t="inlineStr">
        <is>
          <t>Cast Carbon Steel (ASTM A216 Gr. WCB) Globe Type Safety Valve, Flanged End ASA 150#</t>
        </is>
      </c>
      <c r="C66" s="13" t="inlineStr">
        <is>
          <t>Design: BS 1873 | Body: ASTM A216 Gr WCB | Trims: 13% Cr SS410 (Trim-1) | F-F: ASME B16.10 | Pressure: ASME B16.34 | Test: API 598 | Hydro: Body 32, Seat 23 Kg/Cm2</t>
        </is>
      </c>
      <c r="D66" s="13" t="inlineStr">
        <is>
          <t>ASTM A105 + 13% Cr (Trim-1)</t>
        </is>
      </c>
      <c r="E66" s="14" t="inlineStr">
        <is>
          <t>4"</t>
        </is>
      </c>
      <c r="F66" s="13" t="inlineStr"/>
      <c r="G66" s="13" t="inlineStr"/>
      <c r="H66" s="13" t="inlineStr">
        <is>
          <t>BS 1873</t>
        </is>
      </c>
      <c r="I66" s="13" t="inlineStr">
        <is>
          <t>Body 32, Seat 23 Kg/Cm2</t>
        </is>
      </c>
      <c r="J66" s="13" t="inlineStr">
        <is>
          <t>Nos</t>
        </is>
      </c>
      <c r="K66" s="15" t="n">
        <v>33755</v>
      </c>
      <c r="L66" s="3" t="inlineStr">
        <is>
          <t>Active</t>
        </is>
      </c>
      <c r="M66" s="13" t="inlineStr"/>
      <c r="N66" s="13" t="inlineStr"/>
    </row>
    <row r="67" ht="15" customHeight="1">
      <c r="A67" s="30" t="inlineStr">
        <is>
          <t>Ball Valves</t>
        </is>
      </c>
      <c r="B67" s="17" t="inlineStr">
        <is>
          <t>2PC/3PC Design with Blow Out Proof Stem Full Bore Handle Operated Investment Casting Ball Valve, F/Ends ASA 150#</t>
        </is>
      </c>
      <c r="C67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67" s="17" t="inlineStr">
        <is>
          <t>CF8M (S.S.316) + CF8M (S.S.316)</t>
        </is>
      </c>
      <c r="E67" s="18" t="inlineStr">
        <is>
          <t>1/2"</t>
        </is>
      </c>
      <c r="F67" s="17" t="inlineStr"/>
      <c r="G67" s="17" t="inlineStr"/>
      <c r="H67" s="17" t="inlineStr">
        <is>
          <t>BS 5351 / API 6D</t>
        </is>
      </c>
      <c r="I67" s="17" t="inlineStr">
        <is>
          <t>Body 32, Seat 23 Kg/Cm2</t>
        </is>
      </c>
      <c r="J67" s="17" t="inlineStr">
        <is>
          <t>Nos</t>
        </is>
      </c>
      <c r="K67" s="15" t="n">
        <v>2895</v>
      </c>
      <c r="L67" s="3" t="inlineStr">
        <is>
          <t>Active</t>
        </is>
      </c>
      <c r="M67" s="17" t="inlineStr"/>
      <c r="N67" s="17" t="inlineStr"/>
    </row>
    <row r="68" ht="15" customHeight="1">
      <c r="A68" s="31" t="inlineStr">
        <is>
          <t>Ball Valves</t>
        </is>
      </c>
      <c r="B68" s="13" t="inlineStr">
        <is>
          <t>2PC/3PC Design with Blow Out Proof Stem Full Bore Handle Operated Investment Casting Ball Valve, F/Ends ASA 150#</t>
        </is>
      </c>
      <c r="C68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68" s="13" t="inlineStr">
        <is>
          <t>CF8M (S.S.316) + CF8M (S.S.316)</t>
        </is>
      </c>
      <c r="E68" s="14" t="inlineStr">
        <is>
          <t>3/4"</t>
        </is>
      </c>
      <c r="F68" s="13" t="inlineStr"/>
      <c r="G68" s="13" t="inlineStr"/>
      <c r="H68" s="13" t="inlineStr">
        <is>
          <t>BS 5351 / API 6D</t>
        </is>
      </c>
      <c r="I68" s="13" t="inlineStr">
        <is>
          <t>Body 32, Seat 23 Kg/Cm2</t>
        </is>
      </c>
      <c r="J68" s="13" t="inlineStr">
        <is>
          <t>Nos</t>
        </is>
      </c>
      <c r="K68" s="15" t="n">
        <v>3395</v>
      </c>
      <c r="L68" s="3" t="inlineStr">
        <is>
          <t>Active</t>
        </is>
      </c>
      <c r="M68" s="13" t="inlineStr"/>
      <c r="N68" s="13" t="inlineStr"/>
    </row>
    <row r="69" ht="15" customHeight="1">
      <c r="A69" s="30" t="inlineStr">
        <is>
          <t>Ball Valves</t>
        </is>
      </c>
      <c r="B69" s="17" t="inlineStr">
        <is>
          <t>2PC/3PC Design with Blow Out Proof Stem Full Bore Handle Operated Investment Casting Ball Valve, F/Ends ASA 150#</t>
        </is>
      </c>
      <c r="C69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69" s="17" t="inlineStr">
        <is>
          <t>CF8M (S.S.316) + CF8M (S.S.316)</t>
        </is>
      </c>
      <c r="E69" s="18" t="inlineStr">
        <is>
          <t>1"</t>
        </is>
      </c>
      <c r="F69" s="17" t="inlineStr"/>
      <c r="G69" s="17" t="inlineStr"/>
      <c r="H69" s="17" t="inlineStr">
        <is>
          <t>BS 5351 / API 6D</t>
        </is>
      </c>
      <c r="I69" s="17" t="inlineStr">
        <is>
          <t>Body 32, Seat 23 Kg/Cm2</t>
        </is>
      </c>
      <c r="J69" s="17" t="inlineStr">
        <is>
          <t>Nos</t>
        </is>
      </c>
      <c r="K69" s="15" t="n">
        <v>4555</v>
      </c>
      <c r="L69" s="3" t="inlineStr">
        <is>
          <t>Active</t>
        </is>
      </c>
      <c r="M69" s="17" t="inlineStr"/>
      <c r="N69" s="17" t="inlineStr"/>
    </row>
    <row r="70" ht="15" customHeight="1">
      <c r="A70" s="31" t="inlineStr">
        <is>
          <t>Ball Valves</t>
        </is>
      </c>
      <c r="B70" s="13" t="inlineStr">
        <is>
          <t>2PC/3PC Design with Blow Out Proof Stem Full Bore Handle Operated Investment Casting Ball Valve, F/Ends ASA 150#</t>
        </is>
      </c>
      <c r="C70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0" s="13" t="inlineStr">
        <is>
          <t>CF8M (S.S.316) + CF8M (S.S.316)</t>
        </is>
      </c>
      <c r="E70" s="14" t="inlineStr">
        <is>
          <t>1.5"</t>
        </is>
      </c>
      <c r="F70" s="13" t="inlineStr"/>
      <c r="G70" s="13" t="inlineStr"/>
      <c r="H70" s="13" t="inlineStr">
        <is>
          <t>BS 5351 / API 6D</t>
        </is>
      </c>
      <c r="I70" s="13" t="inlineStr">
        <is>
          <t>Body 32, Seat 23 Kg/Cm2</t>
        </is>
      </c>
      <c r="J70" s="13" t="inlineStr">
        <is>
          <t>Nos</t>
        </is>
      </c>
      <c r="K70" s="15" t="n">
        <v>7815</v>
      </c>
      <c r="L70" s="3" t="inlineStr">
        <is>
          <t>Active</t>
        </is>
      </c>
      <c r="M70" s="13" t="inlineStr"/>
      <c r="N70" s="13" t="inlineStr"/>
    </row>
    <row r="71" ht="15" customHeight="1">
      <c r="A71" s="30" t="inlineStr">
        <is>
          <t>Ball Valves</t>
        </is>
      </c>
      <c r="B71" s="17" t="inlineStr">
        <is>
          <t>2PC/3PC Design with Blow Out Proof Stem Full Bore Handle Operated Investment Casting Ball Valve, F/Ends ASA 150#</t>
        </is>
      </c>
      <c r="C71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1" s="17" t="inlineStr">
        <is>
          <t>CF8M (S.S.316) + CF8M (S.S.316)</t>
        </is>
      </c>
      <c r="E71" s="18" t="inlineStr">
        <is>
          <t>2"</t>
        </is>
      </c>
      <c r="F71" s="17" t="inlineStr"/>
      <c r="G71" s="17" t="inlineStr"/>
      <c r="H71" s="17" t="inlineStr">
        <is>
          <t>BS 5351 / API 6D</t>
        </is>
      </c>
      <c r="I71" s="17" t="inlineStr">
        <is>
          <t>Body 32, Seat 23 Kg/Cm2</t>
        </is>
      </c>
      <c r="J71" s="17" t="inlineStr">
        <is>
          <t>Nos</t>
        </is>
      </c>
      <c r="K71" s="15" t="n">
        <v>11955</v>
      </c>
      <c r="L71" s="3" t="inlineStr">
        <is>
          <t>Active</t>
        </is>
      </c>
      <c r="M71" s="17" t="inlineStr"/>
      <c r="N71" s="17" t="inlineStr"/>
    </row>
    <row r="72" ht="15" customHeight="1">
      <c r="A72" s="31" t="inlineStr">
        <is>
          <t>Ball Valves</t>
        </is>
      </c>
      <c r="B72" s="13" t="inlineStr">
        <is>
          <t>2PC/3PC Design with Blow Out Proof Stem Full Bore Handle Operated Investment Casting Ball Valve, F/Ends ASA 150#</t>
        </is>
      </c>
      <c r="C72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2" s="13" t="inlineStr">
        <is>
          <t>CF8M (S.S.316) + CF8M (S.S.316)</t>
        </is>
      </c>
      <c r="E72" s="14" t="inlineStr">
        <is>
          <t>2.5"</t>
        </is>
      </c>
      <c r="F72" s="13" t="inlineStr"/>
      <c r="G72" s="13" t="inlineStr"/>
      <c r="H72" s="13" t="inlineStr">
        <is>
          <t>BS 5351 / API 6D</t>
        </is>
      </c>
      <c r="I72" s="13" t="inlineStr">
        <is>
          <t>Body 32, Seat 23 Kg/Cm2</t>
        </is>
      </c>
      <c r="J72" s="13" t="inlineStr">
        <is>
          <t>Nos</t>
        </is>
      </c>
      <c r="K72" s="15" t="n">
        <v>19555</v>
      </c>
      <c r="L72" s="3" t="inlineStr">
        <is>
          <t>Active</t>
        </is>
      </c>
      <c r="M72" s="13" t="inlineStr"/>
      <c r="N72" s="13" t="inlineStr"/>
    </row>
    <row r="73" ht="15" customHeight="1">
      <c r="A73" s="30" t="inlineStr">
        <is>
          <t>Ball Valves</t>
        </is>
      </c>
      <c r="B73" s="17" t="inlineStr">
        <is>
          <t>2PC/3PC Design with Blow Out Proof Stem Full Bore Handle Operated Investment Casting Ball Valve, F/Ends ASA 150#</t>
        </is>
      </c>
      <c r="C73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3" s="17" t="inlineStr">
        <is>
          <t>CF8M (S.S.316) + CF8M (S.S.316)</t>
        </is>
      </c>
      <c r="E73" s="18" t="inlineStr">
        <is>
          <t>3"</t>
        </is>
      </c>
      <c r="F73" s="17" t="inlineStr"/>
      <c r="G73" s="17" t="inlineStr"/>
      <c r="H73" s="17" t="inlineStr">
        <is>
          <t>BS 5351 / API 6D</t>
        </is>
      </c>
      <c r="I73" s="17" t="inlineStr">
        <is>
          <t>Body 32, Seat 23 Kg/Cm2</t>
        </is>
      </c>
      <c r="J73" s="17" t="inlineStr">
        <is>
          <t>Nos</t>
        </is>
      </c>
      <c r="K73" s="15" t="n">
        <v>23555</v>
      </c>
      <c r="L73" s="3" t="inlineStr">
        <is>
          <t>Active</t>
        </is>
      </c>
      <c r="M73" s="17" t="inlineStr"/>
      <c r="N73" s="17" t="inlineStr"/>
    </row>
    <row r="74" ht="15" customHeight="1">
      <c r="A74" s="31" t="inlineStr">
        <is>
          <t>Ball Valves</t>
        </is>
      </c>
      <c r="B74" s="13" t="inlineStr">
        <is>
          <t>2PC/3PC Design with Blow Out Proof Stem Full Bore Handle Operated Investment Casting Ball Valve, F/Ends ASA 150#</t>
        </is>
      </c>
      <c r="C74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4" s="13" t="inlineStr">
        <is>
          <t>CF8M (S.S.316) + CF8M (S.S.316)</t>
        </is>
      </c>
      <c r="E74" s="14" t="inlineStr">
        <is>
          <t>4"</t>
        </is>
      </c>
      <c r="F74" s="13" t="inlineStr"/>
      <c r="G74" s="13" t="inlineStr"/>
      <c r="H74" s="13" t="inlineStr">
        <is>
          <t>BS 5351 / API 6D</t>
        </is>
      </c>
      <c r="I74" s="13" t="inlineStr">
        <is>
          <t>Body 32, Seat 23 Kg/Cm2</t>
        </is>
      </c>
      <c r="J74" s="13" t="inlineStr">
        <is>
          <t>Nos</t>
        </is>
      </c>
      <c r="K74" s="15" t="n">
        <v>38655</v>
      </c>
      <c r="L74" s="3" t="inlineStr">
        <is>
          <t>Active</t>
        </is>
      </c>
      <c r="M74" s="13" t="inlineStr"/>
      <c r="N74" s="13" t="inlineStr"/>
    </row>
    <row r="75" ht="15" customHeight="1">
      <c r="A75" s="30" t="inlineStr">
        <is>
          <t>Ball Valves</t>
        </is>
      </c>
      <c r="B75" s="17" t="inlineStr">
        <is>
          <t>2PC/3PC Design with Blow Out Proof Stem Full Bore Handle Operated Investment Casting Ball Valve, F/Ends ASA 150#</t>
        </is>
      </c>
      <c r="C75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5" s="17" t="inlineStr">
        <is>
          <t>CF8M (S.S.316) + CF8M (S.S.316)</t>
        </is>
      </c>
      <c r="E75" s="18" t="inlineStr">
        <is>
          <t>5"</t>
        </is>
      </c>
      <c r="F75" s="17" t="inlineStr"/>
      <c r="G75" s="17" t="inlineStr"/>
      <c r="H75" s="17" t="inlineStr">
        <is>
          <t>BS 5351 / API 6D</t>
        </is>
      </c>
      <c r="I75" s="17" t="inlineStr">
        <is>
          <t>Body 32, Seat 23 Kg/Cm2</t>
        </is>
      </c>
      <c r="J75" s="17" t="inlineStr">
        <is>
          <t>Nos</t>
        </is>
      </c>
      <c r="K75" s="15" t="n">
        <v>58955</v>
      </c>
      <c r="L75" s="3" t="inlineStr">
        <is>
          <t>Active</t>
        </is>
      </c>
      <c r="M75" s="17" t="inlineStr"/>
      <c r="N75" s="17" t="inlineStr"/>
    </row>
    <row r="76" ht="15" customHeight="1">
      <c r="A76" s="31" t="inlineStr">
        <is>
          <t>Ball Valves</t>
        </is>
      </c>
      <c r="B76" s="13" t="inlineStr">
        <is>
          <t>2PC/3PC Design with Blow Out Proof Stem Full Bore Handle Operated Investment Casting Ball Valve, F/Ends ASA 150#</t>
        </is>
      </c>
      <c r="C76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6" s="13" t="inlineStr">
        <is>
          <t>CF8M (S.S.316) + CF8M (S.S.316)</t>
        </is>
      </c>
      <c r="E76" s="14" t="inlineStr">
        <is>
          <t>6"</t>
        </is>
      </c>
      <c r="F76" s="13" t="inlineStr"/>
      <c r="G76" s="13" t="inlineStr"/>
      <c r="H76" s="13" t="inlineStr">
        <is>
          <t>BS 5351 / API 6D</t>
        </is>
      </c>
      <c r="I76" s="13" t="inlineStr">
        <is>
          <t>Body 32, Seat 23 Kg/Cm2</t>
        </is>
      </c>
      <c r="J76" s="13" t="inlineStr">
        <is>
          <t>Nos</t>
        </is>
      </c>
      <c r="K76" s="15" t="n">
        <v>82155</v>
      </c>
      <c r="L76" s="3" t="inlineStr">
        <is>
          <t>Active</t>
        </is>
      </c>
      <c r="M76" s="13" t="inlineStr"/>
      <c r="N76" s="13" t="inlineStr"/>
    </row>
    <row r="77" ht="15" customHeight="1">
      <c r="A77" s="30" t="inlineStr">
        <is>
          <t>Ball Valves</t>
        </is>
      </c>
      <c r="B77" s="17" t="inlineStr">
        <is>
          <t>2PC/3PC Design with Blow Out Proof Stem Full Bore Handle Operated Investment Casting Ball Valve, F/Ends ASA 150#</t>
        </is>
      </c>
      <c r="C77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7" s="17" t="inlineStr">
        <is>
          <t>CF8M (S.S.316) + CF8M (S.S.316)</t>
        </is>
      </c>
      <c r="E77" s="18" t="inlineStr">
        <is>
          <t>8"</t>
        </is>
      </c>
      <c r="F77" s="17" t="inlineStr"/>
      <c r="G77" s="17" t="inlineStr"/>
      <c r="H77" s="17" t="inlineStr">
        <is>
          <t>BS 5351 / API 6D</t>
        </is>
      </c>
      <c r="I77" s="17" t="inlineStr">
        <is>
          <t>Body 32, Seat 23 Kg/Cm2</t>
        </is>
      </c>
      <c r="J77" s="17" t="inlineStr">
        <is>
          <t>Nos</t>
        </is>
      </c>
      <c r="K77" s="19" t="inlineStr">
        <is>
          <t>On Request</t>
        </is>
      </c>
      <c r="L77" s="3" t="inlineStr">
        <is>
          <t>Active</t>
        </is>
      </c>
      <c r="M77" s="17" t="inlineStr"/>
      <c r="N77" s="17" t="inlineStr"/>
    </row>
    <row r="78" ht="15" customHeight="1">
      <c r="A78" s="31" t="inlineStr">
        <is>
          <t>Ball Valves</t>
        </is>
      </c>
      <c r="B78" s="13" t="inlineStr">
        <is>
          <t>2PC/3PC Design with Blow Out Proof Stem Full Bore Handle Operated Investment Casting Ball Valve, F/Ends ASA 150#</t>
        </is>
      </c>
      <c r="C78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8" s="13" t="inlineStr">
        <is>
          <t>CF8 (S.S.304) + CF8 (S.S.304)</t>
        </is>
      </c>
      <c r="E78" s="14" t="inlineStr">
        <is>
          <t>1/2"</t>
        </is>
      </c>
      <c r="F78" s="13" t="inlineStr"/>
      <c r="G78" s="13" t="inlineStr"/>
      <c r="H78" s="13" t="inlineStr">
        <is>
          <t>BS 5351 / API 6D</t>
        </is>
      </c>
      <c r="I78" s="13" t="inlineStr">
        <is>
          <t>Body 32, Seat 23 Kg/Cm2</t>
        </is>
      </c>
      <c r="J78" s="13" t="inlineStr">
        <is>
          <t>Nos</t>
        </is>
      </c>
      <c r="K78" s="15" t="n">
        <v>2395</v>
      </c>
      <c r="L78" s="3" t="inlineStr">
        <is>
          <t>Active</t>
        </is>
      </c>
      <c r="M78" s="13" t="inlineStr"/>
      <c r="N78" s="13" t="inlineStr"/>
    </row>
    <row r="79" ht="15" customHeight="1">
      <c r="A79" s="30" t="inlineStr">
        <is>
          <t>Ball Valves</t>
        </is>
      </c>
      <c r="B79" s="17" t="inlineStr">
        <is>
          <t>2PC/3PC Design with Blow Out Proof Stem Full Bore Handle Operated Investment Casting Ball Valve, F/Ends ASA 150#</t>
        </is>
      </c>
      <c r="C79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79" s="17" t="inlineStr">
        <is>
          <t>CF8 (S.S.304) + CF8 (S.S.304)</t>
        </is>
      </c>
      <c r="E79" s="18" t="inlineStr">
        <is>
          <t>3/4"</t>
        </is>
      </c>
      <c r="F79" s="17" t="inlineStr"/>
      <c r="G79" s="17" t="inlineStr"/>
      <c r="H79" s="17" t="inlineStr">
        <is>
          <t>BS 5351 / API 6D</t>
        </is>
      </c>
      <c r="I79" s="17" t="inlineStr">
        <is>
          <t>Body 32, Seat 23 Kg/Cm2</t>
        </is>
      </c>
      <c r="J79" s="17" t="inlineStr">
        <is>
          <t>Nos</t>
        </is>
      </c>
      <c r="K79" s="15" t="n">
        <v>2795</v>
      </c>
      <c r="L79" s="3" t="inlineStr">
        <is>
          <t>Active</t>
        </is>
      </c>
      <c r="M79" s="17" t="inlineStr"/>
      <c r="N79" s="17" t="inlineStr"/>
    </row>
    <row r="80" ht="15" customHeight="1">
      <c r="A80" s="31" t="inlineStr">
        <is>
          <t>Ball Valves</t>
        </is>
      </c>
      <c r="B80" s="13" t="inlineStr">
        <is>
          <t>2PC/3PC Design with Blow Out Proof Stem Full Bore Handle Operated Investment Casting Ball Valve, F/Ends ASA 150#</t>
        </is>
      </c>
      <c r="C80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0" s="13" t="inlineStr">
        <is>
          <t>CF8 (S.S.304) + CF8 (S.S.304)</t>
        </is>
      </c>
      <c r="E80" s="14" t="inlineStr">
        <is>
          <t>1"</t>
        </is>
      </c>
      <c r="F80" s="13" t="inlineStr"/>
      <c r="G80" s="13" t="inlineStr"/>
      <c r="H80" s="13" t="inlineStr">
        <is>
          <t>BS 5351 / API 6D</t>
        </is>
      </c>
      <c r="I80" s="13" t="inlineStr">
        <is>
          <t>Body 32, Seat 23 Kg/Cm2</t>
        </is>
      </c>
      <c r="J80" s="13" t="inlineStr">
        <is>
          <t>Nos</t>
        </is>
      </c>
      <c r="K80" s="15" t="n">
        <v>3595</v>
      </c>
      <c r="L80" s="3" t="inlineStr">
        <is>
          <t>Active</t>
        </is>
      </c>
      <c r="M80" s="13" t="inlineStr"/>
      <c r="N80" s="13" t="inlineStr"/>
    </row>
    <row r="81" ht="15" customHeight="1">
      <c r="A81" s="30" t="inlineStr">
        <is>
          <t>Ball Valves</t>
        </is>
      </c>
      <c r="B81" s="17" t="inlineStr">
        <is>
          <t>2PC/3PC Design with Blow Out Proof Stem Full Bore Handle Operated Investment Casting Ball Valve, F/Ends ASA 150#</t>
        </is>
      </c>
      <c r="C81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1" s="17" t="inlineStr">
        <is>
          <t>CF8 (S.S.304) + CF8 (S.S.304)</t>
        </is>
      </c>
      <c r="E81" s="18" t="inlineStr">
        <is>
          <t>1.5"</t>
        </is>
      </c>
      <c r="F81" s="17" t="inlineStr"/>
      <c r="G81" s="17" t="inlineStr"/>
      <c r="H81" s="17" t="inlineStr">
        <is>
          <t>BS 5351 / API 6D</t>
        </is>
      </c>
      <c r="I81" s="17" t="inlineStr">
        <is>
          <t>Body 32, Seat 23 Kg/Cm2</t>
        </is>
      </c>
      <c r="J81" s="17" t="inlineStr">
        <is>
          <t>Nos</t>
        </is>
      </c>
      <c r="K81" s="15" t="n">
        <v>6415</v>
      </c>
      <c r="L81" s="3" t="inlineStr">
        <is>
          <t>Active</t>
        </is>
      </c>
      <c r="M81" s="17" t="inlineStr"/>
      <c r="N81" s="17" t="inlineStr"/>
    </row>
    <row r="82" ht="15" customHeight="1">
      <c r="A82" s="31" t="inlineStr">
        <is>
          <t>Ball Valves</t>
        </is>
      </c>
      <c r="B82" s="13" t="inlineStr">
        <is>
          <t>2PC/3PC Design with Blow Out Proof Stem Full Bore Handle Operated Investment Casting Ball Valve, F/Ends ASA 150#</t>
        </is>
      </c>
      <c r="C82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2" s="13" t="inlineStr">
        <is>
          <t>CF8 (S.S.304) + CF8 (S.S.304)</t>
        </is>
      </c>
      <c r="E82" s="14" t="inlineStr">
        <is>
          <t>2"</t>
        </is>
      </c>
      <c r="F82" s="13" t="inlineStr"/>
      <c r="G82" s="13" t="inlineStr"/>
      <c r="H82" s="13" t="inlineStr">
        <is>
          <t>BS 5351 / API 6D</t>
        </is>
      </c>
      <c r="I82" s="13" t="inlineStr">
        <is>
          <t>Body 32, Seat 23 Kg/Cm2</t>
        </is>
      </c>
      <c r="J82" s="13" t="inlineStr">
        <is>
          <t>Nos</t>
        </is>
      </c>
      <c r="K82" s="15" t="n">
        <v>9655</v>
      </c>
      <c r="L82" s="3" t="inlineStr">
        <is>
          <t>Active</t>
        </is>
      </c>
      <c r="M82" s="13" t="inlineStr"/>
      <c r="N82" s="13" t="inlineStr"/>
    </row>
    <row r="83" ht="15" customHeight="1">
      <c r="A83" s="30" t="inlineStr">
        <is>
          <t>Ball Valves</t>
        </is>
      </c>
      <c r="B83" s="17" t="inlineStr">
        <is>
          <t>2PC/3PC Design with Blow Out Proof Stem Full Bore Handle Operated Investment Casting Ball Valve, F/Ends ASA 150#</t>
        </is>
      </c>
      <c r="C83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3" s="17" t="inlineStr">
        <is>
          <t>CF8 (S.S.304) + CF8 (S.S.304)</t>
        </is>
      </c>
      <c r="E83" s="18" t="inlineStr">
        <is>
          <t>2.5"</t>
        </is>
      </c>
      <c r="F83" s="17" t="inlineStr"/>
      <c r="G83" s="17" t="inlineStr"/>
      <c r="H83" s="17" t="inlineStr">
        <is>
          <t>BS 5351 / API 6D</t>
        </is>
      </c>
      <c r="I83" s="17" t="inlineStr">
        <is>
          <t>Body 32, Seat 23 Kg/Cm2</t>
        </is>
      </c>
      <c r="J83" s="17" t="inlineStr">
        <is>
          <t>Nos</t>
        </is>
      </c>
      <c r="K83" s="15" t="n">
        <v>15355</v>
      </c>
      <c r="L83" s="3" t="inlineStr">
        <is>
          <t>Active</t>
        </is>
      </c>
      <c r="M83" s="17" t="inlineStr"/>
      <c r="N83" s="17" t="inlineStr"/>
    </row>
    <row r="84" ht="15" customHeight="1">
      <c r="A84" s="31" t="inlineStr">
        <is>
          <t>Ball Valves</t>
        </is>
      </c>
      <c r="B84" s="13" t="inlineStr">
        <is>
          <t>2PC/3PC Design with Blow Out Proof Stem Full Bore Handle Operated Investment Casting Ball Valve, F/Ends ASA 150#</t>
        </is>
      </c>
      <c r="C84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4" s="13" t="inlineStr">
        <is>
          <t>CF8 (S.S.304) + CF8 (S.S.304)</t>
        </is>
      </c>
      <c r="E84" s="14" t="inlineStr">
        <is>
          <t>3"</t>
        </is>
      </c>
      <c r="F84" s="13" t="inlineStr"/>
      <c r="G84" s="13" t="inlineStr"/>
      <c r="H84" s="13" t="inlineStr">
        <is>
          <t>BS 5351 / API 6D</t>
        </is>
      </c>
      <c r="I84" s="13" t="inlineStr">
        <is>
          <t>Body 32, Seat 23 Kg/Cm2</t>
        </is>
      </c>
      <c r="J84" s="13" t="inlineStr">
        <is>
          <t>Nos</t>
        </is>
      </c>
      <c r="K84" s="15" t="n">
        <v>18755</v>
      </c>
      <c r="L84" s="3" t="inlineStr">
        <is>
          <t>Active</t>
        </is>
      </c>
      <c r="M84" s="13" t="inlineStr"/>
      <c r="N84" s="13" t="inlineStr"/>
    </row>
    <row r="85" ht="15" customHeight="1">
      <c r="A85" s="30" t="inlineStr">
        <is>
          <t>Ball Valves</t>
        </is>
      </c>
      <c r="B85" s="17" t="inlineStr">
        <is>
          <t>2PC/3PC Design with Blow Out Proof Stem Full Bore Handle Operated Investment Casting Ball Valve, F/Ends ASA 150#</t>
        </is>
      </c>
      <c r="C85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5" s="17" t="inlineStr">
        <is>
          <t>CF8 (S.S.304) + CF8 (S.S.304)</t>
        </is>
      </c>
      <c r="E85" s="18" t="inlineStr">
        <is>
          <t>4"</t>
        </is>
      </c>
      <c r="F85" s="17" t="inlineStr"/>
      <c r="G85" s="17" t="inlineStr"/>
      <c r="H85" s="17" t="inlineStr">
        <is>
          <t>BS 5351 / API 6D</t>
        </is>
      </c>
      <c r="I85" s="17" t="inlineStr">
        <is>
          <t>Body 32, Seat 23 Kg/Cm2</t>
        </is>
      </c>
      <c r="J85" s="17" t="inlineStr">
        <is>
          <t>Nos</t>
        </is>
      </c>
      <c r="K85" s="15" t="n">
        <v>31655</v>
      </c>
      <c r="L85" s="3" t="inlineStr">
        <is>
          <t>Active</t>
        </is>
      </c>
      <c r="M85" s="17" t="inlineStr"/>
      <c r="N85" s="17" t="inlineStr"/>
    </row>
    <row r="86" ht="15" customHeight="1">
      <c r="A86" s="31" t="inlineStr">
        <is>
          <t>Ball Valves</t>
        </is>
      </c>
      <c r="B86" s="13" t="inlineStr">
        <is>
          <t>2PC/3PC Design with Blow Out Proof Stem Full Bore Handle Operated Investment Casting Ball Valve, F/Ends ASA 150#</t>
        </is>
      </c>
      <c r="C86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6" s="13" t="inlineStr">
        <is>
          <t>CF8 (S.S.304) + CF8 (S.S.304)</t>
        </is>
      </c>
      <c r="E86" s="14" t="inlineStr">
        <is>
          <t>5"</t>
        </is>
      </c>
      <c r="F86" s="13" t="inlineStr"/>
      <c r="G86" s="13" t="inlineStr"/>
      <c r="H86" s="13" t="inlineStr">
        <is>
          <t>BS 5351 / API 6D</t>
        </is>
      </c>
      <c r="I86" s="13" t="inlineStr">
        <is>
          <t>Body 32, Seat 23 Kg/Cm2</t>
        </is>
      </c>
      <c r="J86" s="13" t="inlineStr">
        <is>
          <t>Nos</t>
        </is>
      </c>
      <c r="K86" s="15" t="n">
        <v>47655</v>
      </c>
      <c r="L86" s="3" t="inlineStr">
        <is>
          <t>Active</t>
        </is>
      </c>
      <c r="M86" s="13" t="inlineStr"/>
      <c r="N86" s="13" t="inlineStr"/>
    </row>
    <row r="87" ht="15" customHeight="1">
      <c r="A87" s="30" t="inlineStr">
        <is>
          <t>Ball Valves</t>
        </is>
      </c>
      <c r="B87" s="17" t="inlineStr">
        <is>
          <t>2PC/3PC Design with Blow Out Proof Stem Full Bore Handle Operated Investment Casting Ball Valve, F/Ends ASA 150#</t>
        </is>
      </c>
      <c r="C87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7" s="17" t="inlineStr">
        <is>
          <t>CF8 (S.S.304) + CF8 (S.S.304)</t>
        </is>
      </c>
      <c r="E87" s="18" t="inlineStr">
        <is>
          <t>6"</t>
        </is>
      </c>
      <c r="F87" s="17" t="inlineStr"/>
      <c r="G87" s="17" t="inlineStr"/>
      <c r="H87" s="17" t="inlineStr">
        <is>
          <t>BS 5351 / API 6D</t>
        </is>
      </c>
      <c r="I87" s="17" t="inlineStr">
        <is>
          <t>Body 32, Seat 23 Kg/Cm2</t>
        </is>
      </c>
      <c r="J87" s="17" t="inlineStr">
        <is>
          <t>Nos</t>
        </is>
      </c>
      <c r="K87" s="15" t="n">
        <v>65155</v>
      </c>
      <c r="L87" s="3" t="inlineStr">
        <is>
          <t>Active</t>
        </is>
      </c>
      <c r="M87" s="17" t="inlineStr"/>
      <c r="N87" s="17" t="inlineStr"/>
    </row>
    <row r="88" ht="15" customHeight="1">
      <c r="A88" s="31" t="inlineStr">
        <is>
          <t>Ball Valves</t>
        </is>
      </c>
      <c r="B88" s="13" t="inlineStr">
        <is>
          <t>2PC/3PC Design with Blow Out Proof Stem Full Bore Handle Operated Investment Casting Ball Valve, F/Ends ASA 150#</t>
        </is>
      </c>
      <c r="C88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8" s="13" t="inlineStr">
        <is>
          <t>CF8 (S.S.304) + CF8 (S.S.304)</t>
        </is>
      </c>
      <c r="E88" s="14" t="inlineStr">
        <is>
          <t>8"</t>
        </is>
      </c>
      <c r="F88" s="13" t="inlineStr"/>
      <c r="G88" s="13" t="inlineStr"/>
      <c r="H88" s="13" t="inlineStr">
        <is>
          <t>BS 5351 / API 6D</t>
        </is>
      </c>
      <c r="I88" s="13" t="inlineStr">
        <is>
          <t>Body 32, Seat 23 Kg/Cm2</t>
        </is>
      </c>
      <c r="J88" s="13" t="inlineStr">
        <is>
          <t>Nos</t>
        </is>
      </c>
      <c r="K88" s="19" t="inlineStr">
        <is>
          <t>On Request</t>
        </is>
      </c>
      <c r="L88" s="3" t="inlineStr">
        <is>
          <t>Active</t>
        </is>
      </c>
      <c r="M88" s="13" t="inlineStr"/>
      <c r="N88" s="13" t="inlineStr"/>
    </row>
    <row r="89" ht="15" customHeight="1">
      <c r="A89" s="30" t="inlineStr">
        <is>
          <t>Ball Valves</t>
        </is>
      </c>
      <c r="B89" s="17" t="inlineStr">
        <is>
          <t>Rotary Actuated (Double Acting) 2PC/3PC Design Full Bore Investment Casting Ball Valve, F/Ends ASA 150# with Blow Out Proof Stem</t>
        </is>
      </c>
      <c r="C89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89" s="17" t="inlineStr">
        <is>
          <t>CF8M (S.S.316) + CF8M (S.S.316)</t>
        </is>
      </c>
      <c r="E89" s="18" t="inlineStr">
        <is>
          <t>1/2"</t>
        </is>
      </c>
      <c r="F89" s="17" t="inlineStr"/>
      <c r="G89" s="17" t="inlineStr"/>
      <c r="H89" s="17" t="inlineStr">
        <is>
          <t>BS 5351 / API 6D</t>
        </is>
      </c>
      <c r="I89" s="17" t="inlineStr">
        <is>
          <t>Body 32, Seat 23 Kg/Cm2</t>
        </is>
      </c>
      <c r="J89" s="17" t="inlineStr">
        <is>
          <t>Nos</t>
        </is>
      </c>
      <c r="K89" s="15" t="n">
        <v>8355</v>
      </c>
      <c r="L89" s="3" t="inlineStr">
        <is>
          <t>Active</t>
        </is>
      </c>
      <c r="M89" s="17" t="inlineStr"/>
      <c r="N89" s="17" t="inlineStr"/>
    </row>
    <row r="90" ht="15" customHeight="1">
      <c r="A90" s="31" t="inlineStr">
        <is>
          <t>Ball Valves</t>
        </is>
      </c>
      <c r="B90" s="13" t="inlineStr">
        <is>
          <t>Rotary Actuated (Double Acting) 2PC/3PC Design Full Bore Investment Casting Ball Valve, F/Ends ASA 150# with Blow Out Proof Stem</t>
        </is>
      </c>
      <c r="C90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0" s="13" t="inlineStr">
        <is>
          <t>CF8M (S.S.316) + CF8M (S.S.316)</t>
        </is>
      </c>
      <c r="E90" s="14" t="inlineStr">
        <is>
          <t>3/4"</t>
        </is>
      </c>
      <c r="F90" s="13" t="inlineStr"/>
      <c r="G90" s="13" t="inlineStr"/>
      <c r="H90" s="13" t="inlineStr">
        <is>
          <t>BS 5351 / API 6D</t>
        </is>
      </c>
      <c r="I90" s="13" t="inlineStr">
        <is>
          <t>Body 32, Seat 23 Kg/Cm2</t>
        </is>
      </c>
      <c r="J90" s="13" t="inlineStr">
        <is>
          <t>Nos</t>
        </is>
      </c>
      <c r="K90" s="15" t="n">
        <v>9255</v>
      </c>
      <c r="L90" s="3" t="inlineStr">
        <is>
          <t>Active</t>
        </is>
      </c>
      <c r="M90" s="13" t="inlineStr"/>
      <c r="N90" s="13" t="inlineStr"/>
    </row>
    <row r="91" ht="15" customHeight="1">
      <c r="A91" s="30" t="inlineStr">
        <is>
          <t>Ball Valves</t>
        </is>
      </c>
      <c r="B91" s="17" t="inlineStr">
        <is>
          <t>Rotary Actuated (Double Acting) 2PC/3PC Design Full Bore Investment Casting Ball Valve, F/Ends ASA 150# with Blow Out Proof Stem</t>
        </is>
      </c>
      <c r="C91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1" s="17" t="inlineStr">
        <is>
          <t>CF8M (S.S.316) + CF8M (S.S.316)</t>
        </is>
      </c>
      <c r="E91" s="18" t="inlineStr">
        <is>
          <t>1"</t>
        </is>
      </c>
      <c r="F91" s="17" t="inlineStr"/>
      <c r="G91" s="17" t="inlineStr"/>
      <c r="H91" s="17" t="inlineStr">
        <is>
          <t>BS 5351 / API 6D</t>
        </is>
      </c>
      <c r="I91" s="17" t="inlineStr">
        <is>
          <t>Body 32, Seat 23 Kg/Cm2</t>
        </is>
      </c>
      <c r="J91" s="17" t="inlineStr">
        <is>
          <t>Nos</t>
        </is>
      </c>
      <c r="K91" s="15" t="n">
        <v>11155</v>
      </c>
      <c r="L91" s="3" t="inlineStr">
        <is>
          <t>Active</t>
        </is>
      </c>
      <c r="M91" s="17" t="inlineStr"/>
      <c r="N91" s="17" t="inlineStr"/>
    </row>
    <row r="92" ht="15" customHeight="1">
      <c r="A92" s="31" t="inlineStr">
        <is>
          <t>Ball Valves</t>
        </is>
      </c>
      <c r="B92" s="13" t="inlineStr">
        <is>
          <t>Rotary Actuated (Double Acting) 2PC/3PC Design Full Bore Investment Casting Ball Valve, F/Ends ASA 150# with Blow Out Proof Stem</t>
        </is>
      </c>
      <c r="C92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2" s="13" t="inlineStr">
        <is>
          <t>CF8M (S.S.316) + CF8M (S.S.316)</t>
        </is>
      </c>
      <c r="E92" s="14" t="inlineStr">
        <is>
          <t>1.5"</t>
        </is>
      </c>
      <c r="F92" s="13" t="inlineStr"/>
      <c r="G92" s="13" t="inlineStr"/>
      <c r="H92" s="13" t="inlineStr">
        <is>
          <t>BS 5351 / API 6D</t>
        </is>
      </c>
      <c r="I92" s="13" t="inlineStr">
        <is>
          <t>Body 32, Seat 23 Kg/Cm2</t>
        </is>
      </c>
      <c r="J92" s="13" t="inlineStr">
        <is>
          <t>Nos</t>
        </is>
      </c>
      <c r="K92" s="15" t="n">
        <v>16555</v>
      </c>
      <c r="L92" s="3" t="inlineStr">
        <is>
          <t>Active</t>
        </is>
      </c>
      <c r="M92" s="13" t="inlineStr"/>
      <c r="N92" s="13" t="inlineStr"/>
    </row>
    <row r="93" ht="15" customHeight="1">
      <c r="A93" s="30" t="inlineStr">
        <is>
          <t>Ball Valves</t>
        </is>
      </c>
      <c r="B93" s="17" t="inlineStr">
        <is>
          <t>Rotary Actuated (Double Acting) 2PC/3PC Design Full Bore Investment Casting Ball Valve, F/Ends ASA 150# with Blow Out Proof Stem</t>
        </is>
      </c>
      <c r="C93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3" s="17" t="inlineStr">
        <is>
          <t>CF8M (S.S.316) + CF8M (S.S.316)</t>
        </is>
      </c>
      <c r="E93" s="18" t="inlineStr">
        <is>
          <t>2"</t>
        </is>
      </c>
      <c r="F93" s="17" t="inlineStr"/>
      <c r="G93" s="17" t="inlineStr"/>
      <c r="H93" s="17" t="inlineStr">
        <is>
          <t>BS 5351 / API 6D</t>
        </is>
      </c>
      <c r="I93" s="17" t="inlineStr">
        <is>
          <t>Body 32, Seat 23 Kg/Cm2</t>
        </is>
      </c>
      <c r="J93" s="17" t="inlineStr">
        <is>
          <t>Nos</t>
        </is>
      </c>
      <c r="K93" s="15" t="n">
        <v>21955</v>
      </c>
      <c r="L93" s="3" t="inlineStr">
        <is>
          <t>Active</t>
        </is>
      </c>
      <c r="M93" s="17" t="inlineStr"/>
      <c r="N93" s="17" t="inlineStr"/>
    </row>
    <row r="94" ht="15" customHeight="1">
      <c r="A94" s="31" t="inlineStr">
        <is>
          <t>Ball Valves</t>
        </is>
      </c>
      <c r="B94" s="13" t="inlineStr">
        <is>
          <t>Rotary Actuated (Double Acting) 2PC/3PC Design Full Bore Investment Casting Ball Valve, F/Ends ASA 150# with Blow Out Proof Stem</t>
        </is>
      </c>
      <c r="C94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4" s="13" t="inlineStr">
        <is>
          <t>CF8M (S.S.316) + CF8M (S.S.316)</t>
        </is>
      </c>
      <c r="E94" s="14" t="inlineStr">
        <is>
          <t>2.5"</t>
        </is>
      </c>
      <c r="F94" s="13" t="inlineStr"/>
      <c r="G94" s="13" t="inlineStr"/>
      <c r="H94" s="13" t="inlineStr">
        <is>
          <t>BS 5351 / API 6D</t>
        </is>
      </c>
      <c r="I94" s="13" t="inlineStr">
        <is>
          <t>Body 32, Seat 23 Kg/Cm2</t>
        </is>
      </c>
      <c r="J94" s="13" t="inlineStr">
        <is>
          <t>Nos</t>
        </is>
      </c>
      <c r="K94" s="15" t="n">
        <v>33155</v>
      </c>
      <c r="L94" s="3" t="inlineStr">
        <is>
          <t>Active</t>
        </is>
      </c>
      <c r="M94" s="13" t="inlineStr"/>
      <c r="N94" s="13" t="inlineStr"/>
    </row>
    <row r="95" ht="15" customHeight="1">
      <c r="A95" s="30" t="inlineStr">
        <is>
          <t>Ball Valves</t>
        </is>
      </c>
      <c r="B95" s="17" t="inlineStr">
        <is>
          <t>Rotary Actuated (Double Acting) 2PC/3PC Design Full Bore Investment Casting Ball Valve, F/Ends ASA 150# with Blow Out Proof Stem</t>
        </is>
      </c>
      <c r="C95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5" s="17" t="inlineStr">
        <is>
          <t>CF8M (S.S.316) + CF8M (S.S.316)</t>
        </is>
      </c>
      <c r="E95" s="18" t="inlineStr">
        <is>
          <t>3"</t>
        </is>
      </c>
      <c r="F95" s="17" t="inlineStr"/>
      <c r="G95" s="17" t="inlineStr"/>
      <c r="H95" s="17" t="inlineStr">
        <is>
          <t>BS 5351 / API 6D</t>
        </is>
      </c>
      <c r="I95" s="17" t="inlineStr">
        <is>
          <t>Body 32, Seat 23 Kg/Cm2</t>
        </is>
      </c>
      <c r="J95" s="17" t="inlineStr">
        <is>
          <t>Nos</t>
        </is>
      </c>
      <c r="K95" s="15" t="n">
        <v>39155</v>
      </c>
      <c r="L95" s="3" t="inlineStr">
        <is>
          <t>Active</t>
        </is>
      </c>
      <c r="M95" s="17" t="inlineStr"/>
      <c r="N95" s="17" t="inlineStr"/>
    </row>
    <row r="96" ht="15" customHeight="1">
      <c r="A96" s="31" t="inlineStr">
        <is>
          <t>Ball Valves</t>
        </is>
      </c>
      <c r="B96" s="13" t="inlineStr">
        <is>
          <t>Rotary Actuated (Double Acting) 2PC/3PC Design Full Bore Investment Casting Ball Valve, F/Ends ASA 150# with Blow Out Proof Stem</t>
        </is>
      </c>
      <c r="C96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6" s="13" t="inlineStr">
        <is>
          <t>CF8M (S.S.316) + CF8M (S.S.316)</t>
        </is>
      </c>
      <c r="E96" s="14" t="inlineStr">
        <is>
          <t>4"</t>
        </is>
      </c>
      <c r="F96" s="13" t="inlineStr"/>
      <c r="G96" s="13" t="inlineStr"/>
      <c r="H96" s="13" t="inlineStr">
        <is>
          <t>BS 5351 / API 6D</t>
        </is>
      </c>
      <c r="I96" s="13" t="inlineStr">
        <is>
          <t>Body 32, Seat 23 Kg/Cm2</t>
        </is>
      </c>
      <c r="J96" s="13" t="inlineStr">
        <is>
          <t>Nos</t>
        </is>
      </c>
      <c r="K96" s="15" t="n">
        <v>67155</v>
      </c>
      <c r="L96" s="3" t="inlineStr">
        <is>
          <t>Active</t>
        </is>
      </c>
      <c r="M96" s="13" t="inlineStr"/>
      <c r="N96" s="13" t="inlineStr"/>
    </row>
    <row r="97" ht="15" customHeight="1">
      <c r="A97" s="30" t="inlineStr">
        <is>
          <t>Ball Valves</t>
        </is>
      </c>
      <c r="B97" s="17" t="inlineStr">
        <is>
          <t>Rotary Actuated (Double Acting) 2PC/3PC Design Full Bore Investment Casting Ball Valve, F/Ends ASA 150# with Blow Out Proof Stem</t>
        </is>
      </c>
      <c r="C97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7" s="17" t="inlineStr">
        <is>
          <t>CF8M (S.S.316) + CF8M (S.S.316)</t>
        </is>
      </c>
      <c r="E97" s="18" t="inlineStr">
        <is>
          <t>5"</t>
        </is>
      </c>
      <c r="F97" s="17" t="inlineStr"/>
      <c r="G97" s="17" t="inlineStr"/>
      <c r="H97" s="17" t="inlineStr">
        <is>
          <t>BS 5351 / API 6D</t>
        </is>
      </c>
      <c r="I97" s="17" t="inlineStr">
        <is>
          <t>Body 32, Seat 23 Kg/Cm2</t>
        </is>
      </c>
      <c r="J97" s="17" t="inlineStr">
        <is>
          <t>Nos</t>
        </is>
      </c>
      <c r="K97" s="15" t="n">
        <v>149555</v>
      </c>
      <c r="L97" s="3" t="inlineStr">
        <is>
          <t>Active</t>
        </is>
      </c>
      <c r="M97" s="17" t="inlineStr"/>
      <c r="N97" s="17" t="inlineStr"/>
    </row>
    <row r="98" ht="15" customHeight="1">
      <c r="A98" s="31" t="inlineStr">
        <is>
          <t>Ball Valves</t>
        </is>
      </c>
      <c r="B98" s="13" t="inlineStr">
        <is>
          <t>Rotary Actuated (Double Acting) 2PC/3PC Design Full Bore Investment Casting Ball Valve, F/Ends ASA 150# with Blow Out Proof Stem</t>
        </is>
      </c>
      <c r="C98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8" s="13" t="inlineStr">
        <is>
          <t>CF8M (S.S.316) + CF8M (S.S.316)</t>
        </is>
      </c>
      <c r="E98" s="14" t="inlineStr">
        <is>
          <t>6"</t>
        </is>
      </c>
      <c r="F98" s="13" t="inlineStr"/>
      <c r="G98" s="13" t="inlineStr"/>
      <c r="H98" s="13" t="inlineStr">
        <is>
          <t>BS 5351 / API 6D</t>
        </is>
      </c>
      <c r="I98" s="13" t="inlineStr">
        <is>
          <t>Body 32, Seat 23 Kg/Cm2</t>
        </is>
      </c>
      <c r="J98" s="13" t="inlineStr">
        <is>
          <t>Nos</t>
        </is>
      </c>
      <c r="K98" s="15" t="n">
        <v>175555</v>
      </c>
      <c r="L98" s="3" t="inlineStr">
        <is>
          <t>Active</t>
        </is>
      </c>
      <c r="M98" s="13" t="inlineStr"/>
      <c r="N98" s="13" t="inlineStr"/>
    </row>
    <row r="99" ht="15" customHeight="1">
      <c r="A99" s="30" t="inlineStr">
        <is>
          <t>Ball Valves</t>
        </is>
      </c>
      <c r="B99" s="17" t="inlineStr">
        <is>
          <t>Rotary Actuated (Double Acting) 2PC/3PC Design Full Bore Investment Casting Ball Valve, F/Ends ASA 150# with Blow Out Proof Stem</t>
        </is>
      </c>
      <c r="C99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99" s="17" t="inlineStr">
        <is>
          <t>CF8 (S.S.304) + CF8 (S.S.304)</t>
        </is>
      </c>
      <c r="E99" s="18" t="inlineStr">
        <is>
          <t>1/2"</t>
        </is>
      </c>
      <c r="F99" s="17" t="inlineStr"/>
      <c r="G99" s="17" t="inlineStr"/>
      <c r="H99" s="17" t="inlineStr">
        <is>
          <t>BS 5351 / API 6D</t>
        </is>
      </c>
      <c r="I99" s="17" t="inlineStr">
        <is>
          <t>Body 32, Seat 23 Kg/Cm2</t>
        </is>
      </c>
      <c r="J99" s="17" t="inlineStr">
        <is>
          <t>Nos</t>
        </is>
      </c>
      <c r="K99" s="15" t="n">
        <v>7655</v>
      </c>
      <c r="L99" s="3" t="inlineStr">
        <is>
          <t>Active</t>
        </is>
      </c>
      <c r="M99" s="17" t="inlineStr"/>
      <c r="N99" s="17" t="inlineStr"/>
    </row>
    <row r="100" ht="15" customHeight="1">
      <c r="A100" s="31" t="inlineStr">
        <is>
          <t>Ball Valves</t>
        </is>
      </c>
      <c r="B100" s="13" t="inlineStr">
        <is>
          <t>Rotary Actuated (Double Acting) 2PC/3PC Design Full Bore Investment Casting Ball Valve, F/Ends ASA 150# with Blow Out Proof Stem</t>
        </is>
      </c>
      <c r="C100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0" s="13" t="inlineStr">
        <is>
          <t>CF8 (S.S.304) + CF8 (S.S.304)</t>
        </is>
      </c>
      <c r="E100" s="14" t="inlineStr">
        <is>
          <t>3/4"</t>
        </is>
      </c>
      <c r="F100" s="13" t="inlineStr"/>
      <c r="G100" s="13" t="inlineStr"/>
      <c r="H100" s="13" t="inlineStr">
        <is>
          <t>BS 5351 / API 6D</t>
        </is>
      </c>
      <c r="I100" s="13" t="inlineStr">
        <is>
          <t>Body 32, Seat 23 Kg/Cm2</t>
        </is>
      </c>
      <c r="J100" s="13" t="inlineStr">
        <is>
          <t>Nos</t>
        </is>
      </c>
      <c r="K100" s="15" t="n">
        <v>8355</v>
      </c>
      <c r="L100" s="3" t="inlineStr">
        <is>
          <t>Active</t>
        </is>
      </c>
      <c r="M100" s="13" t="inlineStr"/>
      <c r="N100" s="13" t="inlineStr"/>
    </row>
    <row r="101" ht="15" customHeight="1">
      <c r="A101" s="30" t="inlineStr">
        <is>
          <t>Ball Valves</t>
        </is>
      </c>
      <c r="B101" s="17" t="inlineStr">
        <is>
          <t>Rotary Actuated (Double Acting) 2PC/3PC Design Full Bore Investment Casting Ball Valve, F/Ends ASA 150# with Blow Out Proof Stem</t>
        </is>
      </c>
      <c r="C101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1" s="17" t="inlineStr">
        <is>
          <t>CF8 (S.S.304) + CF8 (S.S.304)</t>
        </is>
      </c>
      <c r="E101" s="18" t="inlineStr">
        <is>
          <t>1"</t>
        </is>
      </c>
      <c r="F101" s="17" t="inlineStr"/>
      <c r="G101" s="17" t="inlineStr"/>
      <c r="H101" s="17" t="inlineStr">
        <is>
          <t>BS 5351 / API 6D</t>
        </is>
      </c>
      <c r="I101" s="17" t="inlineStr">
        <is>
          <t>Body 32, Seat 23 Kg/Cm2</t>
        </is>
      </c>
      <c r="J101" s="17" t="inlineStr">
        <is>
          <t>Nos</t>
        </is>
      </c>
      <c r="K101" s="15" t="n">
        <v>10355</v>
      </c>
      <c r="L101" s="3" t="inlineStr">
        <is>
          <t>Active</t>
        </is>
      </c>
      <c r="M101" s="17" t="inlineStr"/>
      <c r="N101" s="17" t="inlineStr"/>
    </row>
    <row r="102" ht="15" customHeight="1">
      <c r="A102" s="31" t="inlineStr">
        <is>
          <t>Ball Valves</t>
        </is>
      </c>
      <c r="B102" s="13" t="inlineStr">
        <is>
          <t>Rotary Actuated (Double Acting) 2PC/3PC Design Full Bore Investment Casting Ball Valve, F/Ends ASA 150# with Blow Out Proof Stem</t>
        </is>
      </c>
      <c r="C102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2" s="13" t="inlineStr">
        <is>
          <t>CF8 (S.S.304) + CF8 (S.S.304)</t>
        </is>
      </c>
      <c r="E102" s="14" t="inlineStr">
        <is>
          <t>1.5"</t>
        </is>
      </c>
      <c r="F102" s="13" t="inlineStr"/>
      <c r="G102" s="13" t="inlineStr"/>
      <c r="H102" s="13" t="inlineStr">
        <is>
          <t>BS 5351 / API 6D</t>
        </is>
      </c>
      <c r="I102" s="13" t="inlineStr">
        <is>
          <t>Body 32, Seat 23 Kg/Cm2</t>
        </is>
      </c>
      <c r="J102" s="13" t="inlineStr">
        <is>
          <t>Nos</t>
        </is>
      </c>
      <c r="K102" s="15" t="n">
        <v>14655</v>
      </c>
      <c r="L102" s="3" t="inlineStr">
        <is>
          <t>Active</t>
        </is>
      </c>
      <c r="M102" s="13" t="inlineStr"/>
      <c r="N102" s="13" t="inlineStr"/>
    </row>
    <row r="103" ht="15" customHeight="1">
      <c r="A103" s="30" t="inlineStr">
        <is>
          <t>Ball Valves</t>
        </is>
      </c>
      <c r="B103" s="17" t="inlineStr">
        <is>
          <t>Rotary Actuated (Double Acting) 2PC/3PC Design Full Bore Investment Casting Ball Valve, F/Ends ASA 150# with Blow Out Proof Stem</t>
        </is>
      </c>
      <c r="C103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3" s="17" t="inlineStr">
        <is>
          <t>CF8 (S.S.304) + CF8 (S.S.304)</t>
        </is>
      </c>
      <c r="E103" s="18" t="inlineStr">
        <is>
          <t>2"</t>
        </is>
      </c>
      <c r="F103" s="17" t="inlineStr"/>
      <c r="G103" s="17" t="inlineStr"/>
      <c r="H103" s="17" t="inlineStr">
        <is>
          <t>BS 5351 / API 6D</t>
        </is>
      </c>
      <c r="I103" s="17" t="inlineStr">
        <is>
          <t>Body 32, Seat 23 Kg/Cm2</t>
        </is>
      </c>
      <c r="J103" s="17" t="inlineStr">
        <is>
          <t>Nos</t>
        </is>
      </c>
      <c r="K103" s="15" t="n">
        <v>19755</v>
      </c>
      <c r="L103" s="3" t="inlineStr">
        <is>
          <t>Active</t>
        </is>
      </c>
      <c r="M103" s="17" t="inlineStr"/>
      <c r="N103" s="17" t="inlineStr"/>
    </row>
    <row r="104" ht="15" customHeight="1">
      <c r="A104" s="31" t="inlineStr">
        <is>
          <t>Ball Valves</t>
        </is>
      </c>
      <c r="B104" s="13" t="inlineStr">
        <is>
          <t>Rotary Actuated (Double Acting) 2PC/3PC Design Full Bore Investment Casting Ball Valve, F/Ends ASA 150# with Blow Out Proof Stem</t>
        </is>
      </c>
      <c r="C104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4" s="13" t="inlineStr">
        <is>
          <t>CF8 (S.S.304) + CF8 (S.S.304)</t>
        </is>
      </c>
      <c r="E104" s="14" t="inlineStr">
        <is>
          <t>2.5"</t>
        </is>
      </c>
      <c r="F104" s="13" t="inlineStr"/>
      <c r="G104" s="13" t="inlineStr"/>
      <c r="H104" s="13" t="inlineStr">
        <is>
          <t>BS 5351 / API 6D</t>
        </is>
      </c>
      <c r="I104" s="13" t="inlineStr">
        <is>
          <t>Body 32, Seat 23 Kg/Cm2</t>
        </is>
      </c>
      <c r="J104" s="13" t="inlineStr">
        <is>
          <t>Nos</t>
        </is>
      </c>
      <c r="K104" s="15" t="n">
        <v>26650</v>
      </c>
      <c r="L104" s="3" t="inlineStr">
        <is>
          <t>Active</t>
        </is>
      </c>
      <c r="M104" s="13" t="inlineStr"/>
      <c r="N104" s="13" t="inlineStr"/>
    </row>
    <row r="105" ht="15" customHeight="1">
      <c r="A105" s="30" t="inlineStr">
        <is>
          <t>Ball Valves</t>
        </is>
      </c>
      <c r="B105" s="17" t="inlineStr">
        <is>
          <t>Rotary Actuated (Double Acting) 2PC/3PC Design Full Bore Investment Casting Ball Valve, F/Ends ASA 150# with Blow Out Proof Stem</t>
        </is>
      </c>
      <c r="C105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5" s="17" t="inlineStr">
        <is>
          <t>CF8 (S.S.304) + CF8 (S.S.304)</t>
        </is>
      </c>
      <c r="E105" s="18" t="inlineStr">
        <is>
          <t>3"</t>
        </is>
      </c>
      <c r="F105" s="17" t="inlineStr"/>
      <c r="G105" s="17" t="inlineStr"/>
      <c r="H105" s="17" t="inlineStr">
        <is>
          <t>BS 5351 / API 6D</t>
        </is>
      </c>
      <c r="I105" s="17" t="inlineStr">
        <is>
          <t>Body 32, Seat 23 Kg/Cm2</t>
        </is>
      </c>
      <c r="J105" s="17" t="inlineStr">
        <is>
          <t>Nos</t>
        </is>
      </c>
      <c r="K105" s="15" t="n">
        <v>33955</v>
      </c>
      <c r="L105" s="3" t="inlineStr">
        <is>
          <t>Active</t>
        </is>
      </c>
      <c r="M105" s="17" t="inlineStr"/>
      <c r="N105" s="17" t="inlineStr"/>
    </row>
    <row r="106" ht="15" customHeight="1">
      <c r="A106" s="31" t="inlineStr">
        <is>
          <t>Ball Valves</t>
        </is>
      </c>
      <c r="B106" s="13" t="inlineStr">
        <is>
          <t>Rotary Actuated (Double Acting) 2PC/3PC Design Full Bore Investment Casting Ball Valve, F/Ends ASA 150# with Blow Out Proof Stem</t>
        </is>
      </c>
      <c r="C106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6" s="13" t="inlineStr">
        <is>
          <t>CF8 (S.S.304) + CF8 (S.S.304)</t>
        </is>
      </c>
      <c r="E106" s="14" t="inlineStr">
        <is>
          <t>4"</t>
        </is>
      </c>
      <c r="F106" s="13" t="inlineStr"/>
      <c r="G106" s="13" t="inlineStr"/>
      <c r="H106" s="13" t="inlineStr">
        <is>
          <t>BS 5351 / API 6D</t>
        </is>
      </c>
      <c r="I106" s="13" t="inlineStr">
        <is>
          <t>Body 32, Seat 23 Kg/Cm2</t>
        </is>
      </c>
      <c r="J106" s="13" t="inlineStr">
        <is>
          <t>Nos</t>
        </is>
      </c>
      <c r="K106" s="15" t="n">
        <v>53955</v>
      </c>
      <c r="L106" s="3" t="inlineStr">
        <is>
          <t>Active</t>
        </is>
      </c>
      <c r="M106" s="13" t="inlineStr"/>
      <c r="N106" s="13" t="inlineStr"/>
    </row>
    <row r="107" ht="15" customHeight="1">
      <c r="A107" s="30" t="inlineStr">
        <is>
          <t>Ball Valves</t>
        </is>
      </c>
      <c r="B107" s="17" t="inlineStr">
        <is>
          <t>Rotary Actuated (Double Acting) 2PC/3PC Design Full Bore Investment Casting Ball Valve, F/Ends ASA 150# with Blow Out Proof Stem</t>
        </is>
      </c>
      <c r="C107" s="17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7" s="17" t="inlineStr">
        <is>
          <t>CF8 (S.S.304) + CF8 (S.S.304)</t>
        </is>
      </c>
      <c r="E107" s="18" t="inlineStr">
        <is>
          <t>5"</t>
        </is>
      </c>
      <c r="F107" s="17" t="inlineStr"/>
      <c r="G107" s="17" t="inlineStr"/>
      <c r="H107" s="17" t="inlineStr">
        <is>
          <t>BS 5351 / API 6D</t>
        </is>
      </c>
      <c r="I107" s="17" t="inlineStr">
        <is>
          <t>Body 32, Seat 23 Kg/Cm2</t>
        </is>
      </c>
      <c r="J107" s="17" t="inlineStr">
        <is>
          <t>Nos</t>
        </is>
      </c>
      <c r="K107" s="15" t="n">
        <v>137555</v>
      </c>
      <c r="L107" s="3" t="inlineStr">
        <is>
          <t>Active</t>
        </is>
      </c>
      <c r="M107" s="17" t="inlineStr"/>
      <c r="N107" s="17" t="inlineStr"/>
    </row>
    <row r="108" ht="15" customHeight="1">
      <c r="A108" s="31" t="inlineStr">
        <is>
          <t>Ball Valves</t>
        </is>
      </c>
      <c r="B108" s="13" t="inlineStr">
        <is>
          <t>Rotary Actuated (Double Acting) 2PC/3PC Design Full Bore Investment Casting Ball Valve, F/Ends ASA 150# with Blow Out Proof Stem</t>
        </is>
      </c>
      <c r="C108" s="13" t="inlineStr">
        <is>
          <t>Design: BS 5351 / API 6D | Body: ASTM A216 Gr WCB/ CF8/ CF8M/ CF3/ CF3M | Trims: S.S.304/ S.S.316/ S.S.304L/ S.S.316L | F-F: ASME B16.10 | Pressure: ASME B16.34 | Test: API 598 | Hydro: Body 32, Seat 23 Kg/Cm2</t>
        </is>
      </c>
      <c r="D108" s="13" t="inlineStr">
        <is>
          <t>CF8 (S.S.304) + CF8 (S.S.304)</t>
        </is>
      </c>
      <c r="E108" s="14" t="inlineStr">
        <is>
          <t>6"</t>
        </is>
      </c>
      <c r="F108" s="13" t="inlineStr"/>
      <c r="G108" s="13" t="inlineStr"/>
      <c r="H108" s="13" t="inlineStr">
        <is>
          <t>BS 5351 / API 6D</t>
        </is>
      </c>
      <c r="I108" s="13" t="inlineStr">
        <is>
          <t>Body 32, Seat 23 Kg/Cm2</t>
        </is>
      </c>
      <c r="J108" s="13" t="inlineStr">
        <is>
          <t>Nos</t>
        </is>
      </c>
      <c r="K108" s="15" t="n">
        <v>155655</v>
      </c>
      <c r="L108" s="3" t="inlineStr">
        <is>
          <t>Active</t>
        </is>
      </c>
      <c r="M108" s="13" t="inlineStr"/>
      <c r="N108" s="13" t="inlineStr"/>
    </row>
    <row r="109" ht="15" customHeight="1">
      <c r="A109" s="30" t="inlineStr">
        <is>
          <t>Ball Valves</t>
        </is>
      </c>
      <c r="B109" s="17" t="inlineStr">
        <is>
          <t>3PC Design with Blow Out Proof Stem Full Bore Investment Casting Handle Operated Ball Valve, Screwed Ends</t>
        </is>
      </c>
      <c r="C109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09" s="17" t="inlineStr">
        <is>
          <t>CF8M (S.S.316) + CF8M (S.S.316)</t>
        </is>
      </c>
      <c r="E109" s="18" t="inlineStr">
        <is>
          <t>1/2"</t>
        </is>
      </c>
      <c r="F109" s="17" t="inlineStr"/>
      <c r="G109" s="17" t="inlineStr"/>
      <c r="H109" s="17" t="inlineStr">
        <is>
          <t>BS 5351 / API 6D</t>
        </is>
      </c>
      <c r="I109" s="17" t="inlineStr">
        <is>
          <t>Body 32, Seat 23 Kg/Cm2</t>
        </is>
      </c>
      <c r="J109" s="17" t="inlineStr">
        <is>
          <t>Nos</t>
        </is>
      </c>
      <c r="K109" s="15" t="n">
        <v>1555</v>
      </c>
      <c r="L109" s="3" t="inlineStr">
        <is>
          <t>Active</t>
        </is>
      </c>
      <c r="M109" s="17" t="inlineStr"/>
      <c r="N109" s="17" t="inlineStr"/>
    </row>
    <row r="110" ht="15" customHeight="1">
      <c r="A110" s="31" t="inlineStr">
        <is>
          <t>Ball Valves</t>
        </is>
      </c>
      <c r="B110" s="13" t="inlineStr">
        <is>
          <t>3PC Design with Blow Out Proof Stem Full Bore Investment Casting Handle Operated Ball Valve, Screwed Ends</t>
        </is>
      </c>
      <c r="C110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10" s="13" t="inlineStr">
        <is>
          <t>CF8M (S.S.316) + CF8M (S.S.316)</t>
        </is>
      </c>
      <c r="E110" s="14" t="inlineStr">
        <is>
          <t>3/4"</t>
        </is>
      </c>
      <c r="F110" s="13" t="inlineStr"/>
      <c r="G110" s="13" t="inlineStr"/>
      <c r="H110" s="13" t="inlineStr">
        <is>
          <t>BS 5351 / API 6D</t>
        </is>
      </c>
      <c r="I110" s="13" t="inlineStr">
        <is>
          <t>Body 32, Seat 23 Kg/Cm2</t>
        </is>
      </c>
      <c r="J110" s="13" t="inlineStr">
        <is>
          <t>Nos</t>
        </is>
      </c>
      <c r="K110" s="15" t="n">
        <v>1995</v>
      </c>
      <c r="L110" s="3" t="inlineStr">
        <is>
          <t>Active</t>
        </is>
      </c>
      <c r="M110" s="13" t="inlineStr"/>
      <c r="N110" s="13" t="inlineStr"/>
    </row>
    <row r="111" ht="15" customHeight="1">
      <c r="A111" s="30" t="inlineStr">
        <is>
          <t>Ball Valves</t>
        </is>
      </c>
      <c r="B111" s="17" t="inlineStr">
        <is>
          <t>3PC Design with Blow Out Proof Stem Full Bore Investment Casting Handle Operated Ball Valve, Screwed Ends</t>
        </is>
      </c>
      <c r="C111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11" s="17" t="inlineStr">
        <is>
          <t>CF8M (S.S.316) + CF8M (S.S.316)</t>
        </is>
      </c>
      <c r="E111" s="18" t="inlineStr">
        <is>
          <t>1"</t>
        </is>
      </c>
      <c r="F111" s="17" t="inlineStr"/>
      <c r="G111" s="17" t="inlineStr"/>
      <c r="H111" s="17" t="inlineStr">
        <is>
          <t>BS 5351 / API 6D</t>
        </is>
      </c>
      <c r="I111" s="17" t="inlineStr">
        <is>
          <t>Body 32, Seat 23 Kg/Cm2</t>
        </is>
      </c>
      <c r="J111" s="17" t="inlineStr">
        <is>
          <t>Nos</t>
        </is>
      </c>
      <c r="K111" s="15" t="n">
        <v>2595</v>
      </c>
      <c r="L111" s="3" t="inlineStr">
        <is>
          <t>Active</t>
        </is>
      </c>
      <c r="M111" s="17" t="inlineStr"/>
      <c r="N111" s="17" t="inlineStr"/>
    </row>
    <row r="112" ht="15" customHeight="1">
      <c r="A112" s="31" t="inlineStr">
        <is>
          <t>Ball Valves</t>
        </is>
      </c>
      <c r="B112" s="13" t="inlineStr">
        <is>
          <t>3PC Design with Blow Out Proof Stem Full Bore Investment Casting Handle Operated Ball Valve, Screwed Ends</t>
        </is>
      </c>
      <c r="C112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12" s="13" t="inlineStr">
        <is>
          <t>CF8M (S.S.316) + CF8M (S.S.316)</t>
        </is>
      </c>
      <c r="E112" s="14" t="inlineStr">
        <is>
          <t>1.5"</t>
        </is>
      </c>
      <c r="F112" s="13" t="inlineStr"/>
      <c r="G112" s="13" t="inlineStr"/>
      <c r="H112" s="13" t="inlineStr">
        <is>
          <t>BS 5351 / API 6D</t>
        </is>
      </c>
      <c r="I112" s="13" t="inlineStr">
        <is>
          <t>Body 32, Seat 23 Kg/Cm2</t>
        </is>
      </c>
      <c r="J112" s="13" t="inlineStr">
        <is>
          <t>Nos</t>
        </is>
      </c>
      <c r="K112" s="15" t="n">
        <v>4955</v>
      </c>
      <c r="L112" s="3" t="inlineStr">
        <is>
          <t>Active</t>
        </is>
      </c>
      <c r="M112" s="13" t="inlineStr"/>
      <c r="N112" s="13" t="inlineStr"/>
    </row>
    <row r="113" ht="15" customHeight="1">
      <c r="A113" s="30" t="inlineStr">
        <is>
          <t>Ball Valves</t>
        </is>
      </c>
      <c r="B113" s="17" t="inlineStr">
        <is>
          <t>3PC Design with Blow Out Proof Stem Full Bore Investment Casting Handle Operated Ball Valve, Screwed Ends</t>
        </is>
      </c>
      <c r="C113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13" s="17" t="inlineStr">
        <is>
          <t>CF8M (S.S.316) + CF8M (S.S.316)</t>
        </is>
      </c>
      <c r="E113" s="18" t="inlineStr">
        <is>
          <t>2"</t>
        </is>
      </c>
      <c r="F113" s="17" t="inlineStr"/>
      <c r="G113" s="17" t="inlineStr"/>
      <c r="H113" s="17" t="inlineStr">
        <is>
          <t>BS 5351 / API 6D</t>
        </is>
      </c>
      <c r="I113" s="17" t="inlineStr">
        <is>
          <t>Body 32, Seat 23 Kg/Cm2</t>
        </is>
      </c>
      <c r="J113" s="17" t="inlineStr">
        <is>
          <t>Nos</t>
        </is>
      </c>
      <c r="K113" s="15" t="n">
        <v>7455</v>
      </c>
      <c r="L113" s="3" t="inlineStr">
        <is>
          <t>Active</t>
        </is>
      </c>
      <c r="M113" s="17" t="inlineStr"/>
      <c r="N113" s="17" t="inlineStr"/>
    </row>
    <row r="114" ht="15" customHeight="1">
      <c r="A114" s="31" t="inlineStr">
        <is>
          <t>Ball Valves</t>
        </is>
      </c>
      <c r="B114" s="13" t="inlineStr">
        <is>
          <t>3PC Design with Blow Out Proof Stem Full Bore Investment Casting Handle Operated Ball Valve, Screwed Ends</t>
        </is>
      </c>
      <c r="C114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14" s="13" t="inlineStr">
        <is>
          <t>CF8 (S.S.304) + CF8 (S.S.304)</t>
        </is>
      </c>
      <c r="E114" s="14" t="inlineStr">
        <is>
          <t>1/2"</t>
        </is>
      </c>
      <c r="F114" s="13" t="inlineStr"/>
      <c r="G114" s="13" t="inlineStr"/>
      <c r="H114" s="13" t="inlineStr">
        <is>
          <t>BS 5351 / API 6D</t>
        </is>
      </c>
      <c r="I114" s="13" t="inlineStr">
        <is>
          <t>Body 32, Seat 23 Kg/Cm2</t>
        </is>
      </c>
      <c r="J114" s="13" t="inlineStr">
        <is>
          <t>Nos</t>
        </is>
      </c>
      <c r="K114" s="15" t="n">
        <v>1325</v>
      </c>
      <c r="L114" s="3" t="inlineStr">
        <is>
          <t>Active</t>
        </is>
      </c>
      <c r="M114" s="13" t="inlineStr"/>
      <c r="N114" s="13" t="inlineStr"/>
    </row>
    <row r="115" ht="15" customHeight="1">
      <c r="A115" s="30" t="inlineStr">
        <is>
          <t>Ball Valves</t>
        </is>
      </c>
      <c r="B115" s="17" t="inlineStr">
        <is>
          <t>3PC Design with Blow Out Proof Stem Full Bore Investment Casting Handle Operated Ball Valve, Screwed Ends</t>
        </is>
      </c>
      <c r="C115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15" s="17" t="inlineStr">
        <is>
          <t>CF8 (S.S.304) + CF8 (S.S.304)</t>
        </is>
      </c>
      <c r="E115" s="18" t="inlineStr">
        <is>
          <t>3/4"</t>
        </is>
      </c>
      <c r="F115" s="17" t="inlineStr"/>
      <c r="G115" s="17" t="inlineStr"/>
      <c r="H115" s="17" t="inlineStr">
        <is>
          <t>BS 5351 / API 6D</t>
        </is>
      </c>
      <c r="I115" s="17" t="inlineStr">
        <is>
          <t>Body 32, Seat 23 Kg/Cm2</t>
        </is>
      </c>
      <c r="J115" s="17" t="inlineStr">
        <is>
          <t>Nos</t>
        </is>
      </c>
      <c r="K115" s="15" t="n">
        <v>1695</v>
      </c>
      <c r="L115" s="3" t="inlineStr">
        <is>
          <t>Active</t>
        </is>
      </c>
      <c r="M115" s="17" t="inlineStr"/>
      <c r="N115" s="17" t="inlineStr"/>
    </row>
    <row r="116" ht="15" customHeight="1">
      <c r="A116" s="31" t="inlineStr">
        <is>
          <t>Ball Valves</t>
        </is>
      </c>
      <c r="B116" s="13" t="inlineStr">
        <is>
          <t>3PC Design with Blow Out Proof Stem Full Bore Investment Casting Handle Operated Ball Valve, Screwed Ends</t>
        </is>
      </c>
      <c r="C116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16" s="13" t="inlineStr">
        <is>
          <t>CF8 (S.S.304) + CF8 (S.S.304)</t>
        </is>
      </c>
      <c r="E116" s="14" t="inlineStr">
        <is>
          <t>1"</t>
        </is>
      </c>
      <c r="F116" s="13" t="inlineStr"/>
      <c r="G116" s="13" t="inlineStr"/>
      <c r="H116" s="13" t="inlineStr">
        <is>
          <t>BS 5351 / API 6D</t>
        </is>
      </c>
      <c r="I116" s="13" t="inlineStr">
        <is>
          <t>Body 32, Seat 23 Kg/Cm2</t>
        </is>
      </c>
      <c r="J116" s="13" t="inlineStr">
        <is>
          <t>Nos</t>
        </is>
      </c>
      <c r="K116" s="15" t="n">
        <v>2195</v>
      </c>
      <c r="L116" s="3" t="inlineStr">
        <is>
          <t>Active</t>
        </is>
      </c>
      <c r="M116" s="13" t="inlineStr"/>
      <c r="N116" s="13" t="inlineStr"/>
    </row>
    <row r="117" ht="15" customHeight="1">
      <c r="A117" s="30" t="inlineStr">
        <is>
          <t>Ball Valves</t>
        </is>
      </c>
      <c r="B117" s="17" t="inlineStr">
        <is>
          <t>3PC Design with Blow Out Proof Stem Full Bore Investment Casting Handle Operated Ball Valve, Screwed Ends</t>
        </is>
      </c>
      <c r="C117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17" s="17" t="inlineStr">
        <is>
          <t>CF8 (S.S.304) + CF8 (S.S.304)</t>
        </is>
      </c>
      <c r="E117" s="18" t="inlineStr">
        <is>
          <t>1.5"</t>
        </is>
      </c>
      <c r="F117" s="17" t="inlineStr"/>
      <c r="G117" s="17" t="inlineStr"/>
      <c r="H117" s="17" t="inlineStr">
        <is>
          <t>BS 5351 / API 6D</t>
        </is>
      </c>
      <c r="I117" s="17" t="inlineStr">
        <is>
          <t>Body 32, Seat 23 Kg/Cm2</t>
        </is>
      </c>
      <c r="J117" s="17" t="inlineStr">
        <is>
          <t>Nos</t>
        </is>
      </c>
      <c r="K117" s="15" t="n">
        <v>4155</v>
      </c>
      <c r="L117" s="3" t="inlineStr">
        <is>
          <t>Active</t>
        </is>
      </c>
      <c r="M117" s="17" t="inlineStr"/>
      <c r="N117" s="17" t="inlineStr"/>
    </row>
    <row r="118" ht="15" customHeight="1">
      <c r="A118" s="31" t="inlineStr">
        <is>
          <t>Ball Valves</t>
        </is>
      </c>
      <c r="B118" s="13" t="inlineStr">
        <is>
          <t>3PC Design with Blow Out Proof Stem Full Bore Investment Casting Handle Operated Ball Valve, Screwed Ends</t>
        </is>
      </c>
      <c r="C118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18" s="13" t="inlineStr">
        <is>
          <t>CF8 (S.S.304) + CF8 (S.S.304)</t>
        </is>
      </c>
      <c r="E118" s="14" t="inlineStr">
        <is>
          <t>2"</t>
        </is>
      </c>
      <c r="F118" s="13" t="inlineStr"/>
      <c r="G118" s="13" t="inlineStr"/>
      <c r="H118" s="13" t="inlineStr">
        <is>
          <t>BS 5351 / API 6D</t>
        </is>
      </c>
      <c r="I118" s="13" t="inlineStr">
        <is>
          <t>Body 32, Seat 23 Kg/Cm2</t>
        </is>
      </c>
      <c r="J118" s="13" t="inlineStr">
        <is>
          <t>Nos</t>
        </is>
      </c>
      <c r="K118" s="15" t="n">
        <v>6155</v>
      </c>
      <c r="L118" s="3" t="inlineStr">
        <is>
          <t>Active</t>
        </is>
      </c>
      <c r="M118" s="13" t="inlineStr"/>
      <c r="N118" s="13" t="inlineStr"/>
    </row>
    <row r="119" ht="15" customHeight="1">
      <c r="A119" s="30" t="inlineStr">
        <is>
          <t>Ball Valves</t>
        </is>
      </c>
      <c r="B119" s="17" t="inlineStr">
        <is>
          <t>Rotary Actuated (Double Acting) 3PC Design Full Bore Investment Casting Ball Valve, Screwed Ends with Blow Out Proof Stem</t>
        </is>
      </c>
      <c r="C119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19" s="17" t="inlineStr">
        <is>
          <t>CF8M (S.S.316) + CF8M (S.S.316)</t>
        </is>
      </c>
      <c r="E119" s="18" t="inlineStr">
        <is>
          <t>1/2"</t>
        </is>
      </c>
      <c r="F119" s="17" t="inlineStr"/>
      <c r="G119" s="17" t="inlineStr"/>
      <c r="H119" s="17" t="inlineStr">
        <is>
          <t>BS 5351 / API 6D</t>
        </is>
      </c>
      <c r="I119" s="17" t="inlineStr">
        <is>
          <t>Body 32, Seat 23 Kg/Cm2</t>
        </is>
      </c>
      <c r="J119" s="17" t="inlineStr">
        <is>
          <t>Nos</t>
        </is>
      </c>
      <c r="K119" s="15" t="n">
        <v>7455</v>
      </c>
      <c r="L119" s="3" t="inlineStr">
        <is>
          <t>Active</t>
        </is>
      </c>
      <c r="M119" s="17" t="inlineStr"/>
      <c r="N119" s="17" t="inlineStr"/>
    </row>
    <row r="120" ht="15" customHeight="1">
      <c r="A120" s="31" t="inlineStr">
        <is>
          <t>Ball Valves</t>
        </is>
      </c>
      <c r="B120" s="13" t="inlineStr">
        <is>
          <t>Rotary Actuated (Double Acting) 3PC Design Full Bore Investment Casting Ball Valve, Screwed Ends with Blow Out Proof Stem</t>
        </is>
      </c>
      <c r="C120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20" s="13" t="inlineStr">
        <is>
          <t>CF8M (S.S.316) + CF8M (S.S.316)</t>
        </is>
      </c>
      <c r="E120" s="14" t="inlineStr">
        <is>
          <t>3/4"</t>
        </is>
      </c>
      <c r="F120" s="13" t="inlineStr"/>
      <c r="G120" s="13" t="inlineStr"/>
      <c r="H120" s="13" t="inlineStr">
        <is>
          <t>BS 5351 / API 6D</t>
        </is>
      </c>
      <c r="I120" s="13" t="inlineStr">
        <is>
          <t>Body 32, Seat 23 Kg/Cm2</t>
        </is>
      </c>
      <c r="J120" s="13" t="inlineStr">
        <is>
          <t>Nos</t>
        </is>
      </c>
      <c r="K120" s="15" t="n">
        <v>8155</v>
      </c>
      <c r="L120" s="3" t="inlineStr">
        <is>
          <t>Active</t>
        </is>
      </c>
      <c r="M120" s="13" t="inlineStr"/>
      <c r="N120" s="13" t="inlineStr"/>
    </row>
    <row r="121" ht="15" customHeight="1">
      <c r="A121" s="30" t="inlineStr">
        <is>
          <t>Ball Valves</t>
        </is>
      </c>
      <c r="B121" s="17" t="inlineStr">
        <is>
          <t>Rotary Actuated (Double Acting) 3PC Design Full Bore Investment Casting Ball Valve, Screwed Ends with Blow Out Proof Stem</t>
        </is>
      </c>
      <c r="C121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21" s="17" t="inlineStr">
        <is>
          <t>CF8M (S.S.316) + CF8M (S.S.316)</t>
        </is>
      </c>
      <c r="E121" s="18" t="inlineStr">
        <is>
          <t>1"</t>
        </is>
      </c>
      <c r="F121" s="17" t="inlineStr"/>
      <c r="G121" s="17" t="inlineStr"/>
      <c r="H121" s="17" t="inlineStr">
        <is>
          <t>BS 5351 / API 6D</t>
        </is>
      </c>
      <c r="I121" s="17" t="inlineStr">
        <is>
          <t>Body 32, Seat 23 Kg/Cm2</t>
        </is>
      </c>
      <c r="J121" s="17" t="inlineStr">
        <is>
          <t>Nos</t>
        </is>
      </c>
      <c r="K121" s="15" t="n">
        <v>10355</v>
      </c>
      <c r="L121" s="3" t="inlineStr">
        <is>
          <t>Active</t>
        </is>
      </c>
      <c r="M121" s="17" t="inlineStr"/>
      <c r="N121" s="17" t="inlineStr"/>
    </row>
    <row r="122" ht="15" customHeight="1">
      <c r="A122" s="31" t="inlineStr">
        <is>
          <t>Ball Valves</t>
        </is>
      </c>
      <c r="B122" s="13" t="inlineStr">
        <is>
          <t>Rotary Actuated (Double Acting) 3PC Design Full Bore Investment Casting Ball Valve, Screwed Ends with Blow Out Proof Stem</t>
        </is>
      </c>
      <c r="C122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22" s="13" t="inlineStr">
        <is>
          <t>CF8 (S.S.304) + CF8 (S.S.304)</t>
        </is>
      </c>
      <c r="E122" s="14" t="inlineStr">
        <is>
          <t>1/2"</t>
        </is>
      </c>
      <c r="F122" s="13" t="inlineStr"/>
      <c r="G122" s="13" t="inlineStr"/>
      <c r="H122" s="13" t="inlineStr">
        <is>
          <t>BS 5351 / API 6D</t>
        </is>
      </c>
      <c r="I122" s="13" t="inlineStr">
        <is>
          <t>Body 32, Seat 23 Kg/Cm2</t>
        </is>
      </c>
      <c r="J122" s="13" t="inlineStr">
        <is>
          <t>Nos</t>
        </is>
      </c>
      <c r="K122" s="15" t="n">
        <v>6855</v>
      </c>
      <c r="L122" s="3" t="inlineStr">
        <is>
          <t>Active</t>
        </is>
      </c>
      <c r="M122" s="13" t="inlineStr"/>
      <c r="N122" s="13" t="inlineStr"/>
    </row>
    <row r="123" ht="15" customHeight="1">
      <c r="A123" s="30" t="inlineStr">
        <is>
          <t>Ball Valves</t>
        </is>
      </c>
      <c r="B123" s="17" t="inlineStr">
        <is>
          <t>Rotary Actuated (Double Acting) 3PC Design Full Bore Investment Casting Ball Valve, Screwed Ends with Blow Out Proof Stem</t>
        </is>
      </c>
      <c r="C123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23" s="17" t="inlineStr">
        <is>
          <t>CF8 (S.S.304) + CF8 (S.S.304)</t>
        </is>
      </c>
      <c r="E123" s="18" t="inlineStr">
        <is>
          <t>3/4"</t>
        </is>
      </c>
      <c r="F123" s="17" t="inlineStr"/>
      <c r="G123" s="17" t="inlineStr"/>
      <c r="H123" s="17" t="inlineStr">
        <is>
          <t>BS 5351 / API 6D</t>
        </is>
      </c>
      <c r="I123" s="17" t="inlineStr">
        <is>
          <t>Body 32, Seat 23 Kg/Cm2</t>
        </is>
      </c>
      <c r="J123" s="17" t="inlineStr">
        <is>
          <t>Nos</t>
        </is>
      </c>
      <c r="K123" s="15" t="n">
        <v>7585</v>
      </c>
      <c r="L123" s="3" t="inlineStr">
        <is>
          <t>Active</t>
        </is>
      </c>
      <c r="M123" s="17" t="inlineStr"/>
      <c r="N123" s="17" t="inlineStr"/>
    </row>
    <row r="124" ht="15" customHeight="1">
      <c r="A124" s="31" t="inlineStr">
        <is>
          <t>Ball Valves</t>
        </is>
      </c>
      <c r="B124" s="13" t="inlineStr">
        <is>
          <t>Rotary Actuated (Double Acting) 3PC Design Full Bore Investment Casting Ball Valve, Screwed Ends with Blow Out Proof Stem</t>
        </is>
      </c>
      <c r="C124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24" s="13" t="inlineStr">
        <is>
          <t>CF8 (S.S.304) + CF8 (S.S.304)</t>
        </is>
      </c>
      <c r="E124" s="14" t="inlineStr">
        <is>
          <t>1"</t>
        </is>
      </c>
      <c r="F124" s="13" t="inlineStr"/>
      <c r="G124" s="13" t="inlineStr"/>
      <c r="H124" s="13" t="inlineStr">
        <is>
          <t>BS 5351 / API 6D</t>
        </is>
      </c>
      <c r="I124" s="13" t="inlineStr">
        <is>
          <t>Body 32, Seat 23 Kg/Cm2</t>
        </is>
      </c>
      <c r="J124" s="13" t="inlineStr">
        <is>
          <t>Nos</t>
        </is>
      </c>
      <c r="K124" s="15" t="n">
        <v>9555</v>
      </c>
      <c r="L124" s="3" t="inlineStr">
        <is>
          <t>Active</t>
        </is>
      </c>
      <c r="M124" s="13" t="inlineStr"/>
      <c r="N124" s="13" t="inlineStr"/>
    </row>
    <row r="125" ht="15" customHeight="1">
      <c r="A125" s="30" t="inlineStr">
        <is>
          <t>Ball Valves</t>
        </is>
      </c>
      <c r="B125" s="17" t="inlineStr">
        <is>
          <t>1PC Design with Blow Out Proof Stem Full Bore Handle Operated Investment Casting Ball Valve, Screwed Ends</t>
        </is>
      </c>
      <c r="C125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25" s="17" t="inlineStr">
        <is>
          <t>CF8M (S.S.316) + CF8M (S.S.316)</t>
        </is>
      </c>
      <c r="E125" s="18" t="inlineStr">
        <is>
          <t>1/2"</t>
        </is>
      </c>
      <c r="F125" s="17" t="inlineStr"/>
      <c r="G125" s="17" t="inlineStr"/>
      <c r="H125" s="17" t="inlineStr">
        <is>
          <t>BS 5351 / API 6D</t>
        </is>
      </c>
      <c r="I125" s="17" t="inlineStr">
        <is>
          <t>Body 32, Seat 23 Kg/Cm2</t>
        </is>
      </c>
      <c r="J125" s="17" t="inlineStr">
        <is>
          <t>Nos</t>
        </is>
      </c>
      <c r="K125" s="15" t="n">
        <v>1115</v>
      </c>
      <c r="L125" s="3" t="inlineStr">
        <is>
          <t>Active</t>
        </is>
      </c>
      <c r="M125" s="17" t="inlineStr"/>
      <c r="N125" s="17" t="inlineStr"/>
    </row>
    <row r="126" ht="15" customHeight="1">
      <c r="A126" s="31" t="inlineStr">
        <is>
          <t>Ball Valves</t>
        </is>
      </c>
      <c r="B126" s="13" t="inlineStr">
        <is>
          <t>1PC Design with Blow Out Proof Stem Full Bore Handle Operated Investment Casting Ball Valve, Screwed Ends</t>
        </is>
      </c>
      <c r="C126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26" s="13" t="inlineStr">
        <is>
          <t>CF8M (S.S.316) + CF8M (S.S.316)</t>
        </is>
      </c>
      <c r="E126" s="14" t="inlineStr">
        <is>
          <t>3/4"</t>
        </is>
      </c>
      <c r="F126" s="13" t="inlineStr"/>
      <c r="G126" s="13" t="inlineStr"/>
      <c r="H126" s="13" t="inlineStr">
        <is>
          <t>BS 5351 / API 6D</t>
        </is>
      </c>
      <c r="I126" s="13" t="inlineStr">
        <is>
          <t>Body 32, Seat 23 Kg/Cm2</t>
        </is>
      </c>
      <c r="J126" s="13" t="inlineStr">
        <is>
          <t>Nos</t>
        </is>
      </c>
      <c r="K126" s="15" t="n">
        <v>1455</v>
      </c>
      <c r="L126" s="3" t="inlineStr">
        <is>
          <t>Active</t>
        </is>
      </c>
      <c r="M126" s="13" t="inlineStr"/>
      <c r="N126" s="13" t="inlineStr"/>
    </row>
    <row r="127" ht="15" customHeight="1">
      <c r="A127" s="30" t="inlineStr">
        <is>
          <t>Ball Valves</t>
        </is>
      </c>
      <c r="B127" s="17" t="inlineStr">
        <is>
          <t>1PC Design with Blow Out Proof Stem Full Bore Handle Operated Investment Casting Ball Valve, Screwed Ends</t>
        </is>
      </c>
      <c r="C127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27" s="17" t="inlineStr">
        <is>
          <t>CF8M (S.S.316) + CF8M (S.S.316)</t>
        </is>
      </c>
      <c r="E127" s="18" t="inlineStr">
        <is>
          <t>1"</t>
        </is>
      </c>
      <c r="F127" s="17" t="inlineStr"/>
      <c r="G127" s="17" t="inlineStr"/>
      <c r="H127" s="17" t="inlineStr">
        <is>
          <t>BS 5351 / API 6D</t>
        </is>
      </c>
      <c r="I127" s="17" t="inlineStr">
        <is>
          <t>Body 32, Seat 23 Kg/Cm2</t>
        </is>
      </c>
      <c r="J127" s="17" t="inlineStr">
        <is>
          <t>Nos</t>
        </is>
      </c>
      <c r="K127" s="15" t="n">
        <v>2155</v>
      </c>
      <c r="L127" s="3" t="inlineStr">
        <is>
          <t>Active</t>
        </is>
      </c>
      <c r="M127" s="17" t="inlineStr"/>
      <c r="N127" s="17" t="inlineStr"/>
    </row>
    <row r="128" ht="15" customHeight="1">
      <c r="A128" s="31" t="inlineStr">
        <is>
          <t>Ball Valves</t>
        </is>
      </c>
      <c r="B128" s="13" t="inlineStr">
        <is>
          <t>1PC Design with Blow Out Proof Stem Full Bore Handle Operated Investment Casting Ball Valve, Screwed Ends</t>
        </is>
      </c>
      <c r="C128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28" s="13" t="inlineStr">
        <is>
          <t>CF8M (S.S.316) + CF8M (S.S.316)</t>
        </is>
      </c>
      <c r="E128" s="14" t="inlineStr">
        <is>
          <t>1.5"</t>
        </is>
      </c>
      <c r="F128" s="13" t="inlineStr"/>
      <c r="G128" s="13" t="inlineStr"/>
      <c r="H128" s="13" t="inlineStr">
        <is>
          <t>BS 5351 / API 6D</t>
        </is>
      </c>
      <c r="I128" s="13" t="inlineStr">
        <is>
          <t>Body 32, Seat 23 Kg/Cm2</t>
        </is>
      </c>
      <c r="J128" s="13" t="inlineStr">
        <is>
          <t>Nos</t>
        </is>
      </c>
      <c r="K128" s="15" t="n">
        <v>3955</v>
      </c>
      <c r="L128" s="3" t="inlineStr">
        <is>
          <t>Active</t>
        </is>
      </c>
      <c r="M128" s="13" t="inlineStr"/>
      <c r="N128" s="13" t="inlineStr"/>
    </row>
    <row r="129" ht="15" customHeight="1">
      <c r="A129" s="30" t="inlineStr">
        <is>
          <t>Ball Valves</t>
        </is>
      </c>
      <c r="B129" s="17" t="inlineStr">
        <is>
          <t>1PC Design with Blow Out Proof Stem Full Bore Handle Operated Investment Casting Ball Valve, Screwed Ends</t>
        </is>
      </c>
      <c r="C129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29" s="17" t="inlineStr">
        <is>
          <t>CF8M (S.S.316) + CF8M (S.S.316)</t>
        </is>
      </c>
      <c r="E129" s="18" t="inlineStr">
        <is>
          <t>2"</t>
        </is>
      </c>
      <c r="F129" s="17" t="inlineStr"/>
      <c r="G129" s="17" t="inlineStr"/>
      <c r="H129" s="17" t="inlineStr">
        <is>
          <t>BS 5351 / API 6D</t>
        </is>
      </c>
      <c r="I129" s="17" t="inlineStr">
        <is>
          <t>Body 32, Seat 23 Kg/Cm2</t>
        </is>
      </c>
      <c r="J129" s="17" t="inlineStr">
        <is>
          <t>Nos</t>
        </is>
      </c>
      <c r="K129" s="15" t="n">
        <v>5555</v>
      </c>
      <c r="L129" s="3" t="inlineStr">
        <is>
          <t>Active</t>
        </is>
      </c>
      <c r="M129" s="17" t="inlineStr"/>
      <c r="N129" s="17" t="inlineStr"/>
    </row>
    <row r="130" ht="15" customHeight="1">
      <c r="A130" s="31" t="inlineStr">
        <is>
          <t>Ball Valves</t>
        </is>
      </c>
      <c r="B130" s="13" t="inlineStr">
        <is>
          <t>1PC Design with Blow Out Proof Stem Full Bore Handle Operated Investment Casting Ball Valve, Screwed Ends</t>
        </is>
      </c>
      <c r="C130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30" s="13" t="inlineStr">
        <is>
          <t>CF8 (S.S.304) + CF8 (S.S.304)</t>
        </is>
      </c>
      <c r="E130" s="14" t="inlineStr">
        <is>
          <t>1/2"</t>
        </is>
      </c>
      <c r="F130" s="13" t="inlineStr"/>
      <c r="G130" s="13" t="inlineStr"/>
      <c r="H130" s="13" t="inlineStr">
        <is>
          <t>BS 5351 / API 6D</t>
        </is>
      </c>
      <c r="I130" s="13" t="inlineStr">
        <is>
          <t>Body 32, Seat 23 Kg/Cm2</t>
        </is>
      </c>
      <c r="J130" s="13" t="inlineStr">
        <is>
          <t>Nos</t>
        </is>
      </c>
      <c r="K130" s="15" t="n">
        <v>975</v>
      </c>
      <c r="L130" s="3" t="inlineStr">
        <is>
          <t>Active</t>
        </is>
      </c>
      <c r="M130" s="13" t="inlineStr"/>
      <c r="N130" s="13" t="inlineStr"/>
    </row>
    <row r="131" ht="15" customHeight="1">
      <c r="A131" s="30" t="inlineStr">
        <is>
          <t>Ball Valves</t>
        </is>
      </c>
      <c r="B131" s="17" t="inlineStr">
        <is>
          <t>1PC Design with Blow Out Proof Stem Full Bore Handle Operated Investment Casting Ball Valve, Screwed Ends</t>
        </is>
      </c>
      <c r="C131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31" s="17" t="inlineStr">
        <is>
          <t>CF8 (S.S.304) + CF8 (S.S.304)</t>
        </is>
      </c>
      <c r="E131" s="18" t="inlineStr">
        <is>
          <t>3/4"</t>
        </is>
      </c>
      <c r="F131" s="17" t="inlineStr"/>
      <c r="G131" s="17" t="inlineStr"/>
      <c r="H131" s="17" t="inlineStr">
        <is>
          <t>BS 5351 / API 6D</t>
        </is>
      </c>
      <c r="I131" s="17" t="inlineStr">
        <is>
          <t>Body 32, Seat 23 Kg/Cm2</t>
        </is>
      </c>
      <c r="J131" s="17" t="inlineStr">
        <is>
          <t>Nos</t>
        </is>
      </c>
      <c r="K131" s="15" t="n">
        <v>1255</v>
      </c>
      <c r="L131" s="3" t="inlineStr">
        <is>
          <t>Active</t>
        </is>
      </c>
      <c r="M131" s="17" t="inlineStr"/>
      <c r="N131" s="17" t="inlineStr"/>
    </row>
    <row r="132" ht="15" customHeight="1">
      <c r="A132" s="31" t="inlineStr">
        <is>
          <t>Ball Valves</t>
        </is>
      </c>
      <c r="B132" s="13" t="inlineStr">
        <is>
          <t>1PC Design with Blow Out Proof Stem Full Bore Handle Operated Investment Casting Ball Valve, Screwed Ends</t>
        </is>
      </c>
      <c r="C132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32" s="13" t="inlineStr">
        <is>
          <t>CF8 (S.S.304) + CF8 (S.S.304)</t>
        </is>
      </c>
      <c r="E132" s="14" t="inlineStr">
        <is>
          <t>1"</t>
        </is>
      </c>
      <c r="F132" s="13" t="inlineStr"/>
      <c r="G132" s="13" t="inlineStr"/>
      <c r="H132" s="13" t="inlineStr">
        <is>
          <t>BS 5351 / API 6D</t>
        </is>
      </c>
      <c r="I132" s="13" t="inlineStr">
        <is>
          <t>Body 32, Seat 23 Kg/Cm2</t>
        </is>
      </c>
      <c r="J132" s="13" t="inlineStr">
        <is>
          <t>Nos</t>
        </is>
      </c>
      <c r="K132" s="15" t="n">
        <v>1795</v>
      </c>
      <c r="L132" s="3" t="inlineStr">
        <is>
          <t>Active</t>
        </is>
      </c>
      <c r="M132" s="13" t="inlineStr"/>
      <c r="N132" s="13" t="inlineStr"/>
    </row>
    <row r="133" ht="15" customHeight="1">
      <c r="A133" s="30" t="inlineStr">
        <is>
          <t>Ball Valves</t>
        </is>
      </c>
      <c r="B133" s="17" t="inlineStr">
        <is>
          <t>1PC Design with Blow Out Proof Stem Full Bore Handle Operated Investment Casting Ball Valve, Screwed Ends</t>
        </is>
      </c>
      <c r="C133" s="17" t="inlineStr">
        <is>
          <t>Design: BS 5351 / API 6D | Body: ASTM A216 Gr WCB/ CF8/ CF8M/ CF3/ CF3M | Trims: S.S.304/ S.S.316/ S.S.304L/ S.S.316L | Pressure: ASME B16.34 | Test: API 598 | Hydro: Body 32, Seat 23 Kg/Cm2</t>
        </is>
      </c>
      <c r="D133" s="17" t="inlineStr">
        <is>
          <t>CF8 (S.S.304) + CF8 (S.S.304)</t>
        </is>
      </c>
      <c r="E133" s="18" t="inlineStr">
        <is>
          <t>1.5"</t>
        </is>
      </c>
      <c r="F133" s="17" t="inlineStr"/>
      <c r="G133" s="17" t="inlineStr"/>
      <c r="H133" s="17" t="inlineStr">
        <is>
          <t>BS 5351 / API 6D</t>
        </is>
      </c>
      <c r="I133" s="17" t="inlineStr">
        <is>
          <t>Body 32, Seat 23 Kg/Cm2</t>
        </is>
      </c>
      <c r="J133" s="17" t="inlineStr">
        <is>
          <t>Nos</t>
        </is>
      </c>
      <c r="K133" s="15" t="n">
        <v>3255</v>
      </c>
      <c r="L133" s="3" t="inlineStr">
        <is>
          <t>Active</t>
        </is>
      </c>
      <c r="M133" s="17" t="inlineStr"/>
      <c r="N133" s="17" t="inlineStr"/>
    </row>
    <row r="134" ht="15" customHeight="1">
      <c r="A134" s="31" t="inlineStr">
        <is>
          <t>Ball Valves</t>
        </is>
      </c>
      <c r="B134" s="13" t="inlineStr">
        <is>
          <t>1PC Design with Blow Out Proof Stem Full Bore Handle Operated Investment Casting Ball Valve, Screwed Ends</t>
        </is>
      </c>
      <c r="C134" s="13" t="inlineStr">
        <is>
          <t>Design: BS 5351 / API 6D | Body: ASTM A216 Gr WCB/ CF8/ CF8M/ CF3/ CF3M | Trims: S.S.304/ S.S.316/ S.S.304L/ S.S.316L | Pressure: ASME B16.34 | Test: API 598 | Hydro: Body 32, Seat 23 Kg/Cm2</t>
        </is>
      </c>
      <c r="D134" s="13" t="inlineStr">
        <is>
          <t>CF8 (S.S.304) + CF8 (S.S.304)</t>
        </is>
      </c>
      <c r="E134" s="14" t="inlineStr">
        <is>
          <t>2"</t>
        </is>
      </c>
      <c r="F134" s="13" t="inlineStr"/>
      <c r="G134" s="13" t="inlineStr"/>
      <c r="H134" s="13" t="inlineStr">
        <is>
          <t>BS 5351 / API 6D</t>
        </is>
      </c>
      <c r="I134" s="13" t="inlineStr">
        <is>
          <t>Body 32, Seat 23 Kg/Cm2</t>
        </is>
      </c>
      <c r="J134" s="13" t="inlineStr">
        <is>
          <t>Nos</t>
        </is>
      </c>
      <c r="K134" s="15" t="n">
        <v>4555</v>
      </c>
      <c r="L134" s="3" t="inlineStr">
        <is>
          <t>Active</t>
        </is>
      </c>
      <c r="M134" s="13" t="inlineStr"/>
      <c r="N134" s="13" t="inlineStr"/>
    </row>
    <row r="135" ht="15" customHeight="1">
      <c r="A135" s="27" t="inlineStr">
        <is>
          <t>Check Valves</t>
        </is>
      </c>
      <c r="B135" s="17" t="inlineStr">
        <is>
          <t>Sandwich Type Disc Check Valve (NRV)</t>
        </is>
      </c>
      <c r="C135" s="17" t="inlineStr">
        <is>
          <t>MOC: S.S.304 (CF8) | Pressure: ASME B16.34 | Test: API 598</t>
        </is>
      </c>
      <c r="D135" s="17" t="inlineStr">
        <is>
          <t>S.S.304 (CF8)</t>
        </is>
      </c>
      <c r="E135" s="18" t="inlineStr">
        <is>
          <t>15mm</t>
        </is>
      </c>
      <c r="F135" s="17" t="inlineStr"/>
      <c r="G135" s="17" t="inlineStr"/>
      <c r="H135" s="17" t="inlineStr"/>
      <c r="I135" s="17" t="inlineStr"/>
      <c r="J135" s="17" t="inlineStr">
        <is>
          <t>Nos</t>
        </is>
      </c>
      <c r="K135" s="15" t="n">
        <v>995</v>
      </c>
      <c r="L135" s="3" t="inlineStr">
        <is>
          <t>Active</t>
        </is>
      </c>
      <c r="M135" s="17" t="inlineStr"/>
      <c r="N135" s="17" t="inlineStr"/>
    </row>
    <row r="136" ht="15" customHeight="1">
      <c r="A136" s="26" t="inlineStr">
        <is>
          <t>Check Valves</t>
        </is>
      </c>
      <c r="B136" s="13" t="inlineStr">
        <is>
          <t>Sandwich Type Disc Check Valve (NRV)</t>
        </is>
      </c>
      <c r="C136" s="13" t="inlineStr">
        <is>
          <t>MOC: S.S.304 (CF8) | Pressure: ASME B16.34 | Test: API 598</t>
        </is>
      </c>
      <c r="D136" s="13" t="inlineStr">
        <is>
          <t>S.S.304 (CF8)</t>
        </is>
      </c>
      <c r="E136" s="14" t="inlineStr">
        <is>
          <t>20mm</t>
        </is>
      </c>
      <c r="F136" s="13" t="inlineStr"/>
      <c r="G136" s="13" t="inlineStr"/>
      <c r="H136" s="13" t="inlineStr"/>
      <c r="I136" s="13" t="inlineStr"/>
      <c r="J136" s="13" t="inlineStr">
        <is>
          <t>Nos</t>
        </is>
      </c>
      <c r="K136" s="15" t="n">
        <v>1155</v>
      </c>
      <c r="L136" s="3" t="inlineStr">
        <is>
          <t>Active</t>
        </is>
      </c>
      <c r="M136" s="13" t="inlineStr"/>
      <c r="N136" s="13" t="inlineStr"/>
    </row>
    <row r="137" ht="15" customHeight="1">
      <c r="A137" s="27" t="inlineStr">
        <is>
          <t>Check Valves</t>
        </is>
      </c>
      <c r="B137" s="17" t="inlineStr">
        <is>
          <t>Sandwich Type Disc Check Valve (NRV)</t>
        </is>
      </c>
      <c r="C137" s="17" t="inlineStr">
        <is>
          <t>MOC: S.S.304 (CF8) | Pressure: ASME B16.34 | Test: API 598</t>
        </is>
      </c>
      <c r="D137" s="17" t="inlineStr">
        <is>
          <t>S.S.304 (CF8)</t>
        </is>
      </c>
      <c r="E137" s="18" t="inlineStr">
        <is>
          <t>25mm</t>
        </is>
      </c>
      <c r="F137" s="17" t="inlineStr"/>
      <c r="G137" s="17" t="inlineStr"/>
      <c r="H137" s="17" t="inlineStr"/>
      <c r="I137" s="17" t="inlineStr"/>
      <c r="J137" s="17" t="inlineStr">
        <is>
          <t>Nos</t>
        </is>
      </c>
      <c r="K137" s="15" t="n">
        <v>1455</v>
      </c>
      <c r="L137" s="3" t="inlineStr">
        <is>
          <t>Active</t>
        </is>
      </c>
      <c r="M137" s="17" t="inlineStr"/>
      <c r="N137" s="17" t="inlineStr"/>
    </row>
    <row r="138" ht="15" customHeight="1">
      <c r="A138" s="26" t="inlineStr">
        <is>
          <t>Check Valves</t>
        </is>
      </c>
      <c r="B138" s="13" t="inlineStr">
        <is>
          <t>Sandwich Type Disc Check Valve (NRV)</t>
        </is>
      </c>
      <c r="C138" s="13" t="inlineStr">
        <is>
          <t>MOC: S.S.304 (CF8) | Pressure: ASME B16.34 | Test: API 598</t>
        </is>
      </c>
      <c r="D138" s="13" t="inlineStr">
        <is>
          <t>S.S.304 (CF8)</t>
        </is>
      </c>
      <c r="E138" s="14" t="inlineStr">
        <is>
          <t>40mm</t>
        </is>
      </c>
      <c r="F138" s="13" t="inlineStr"/>
      <c r="G138" s="13" t="inlineStr"/>
      <c r="H138" s="13" t="inlineStr"/>
      <c r="I138" s="13" t="inlineStr"/>
      <c r="J138" s="13" t="inlineStr">
        <is>
          <t>Nos</t>
        </is>
      </c>
      <c r="K138" s="15" t="n">
        <v>2455</v>
      </c>
      <c r="L138" s="3" t="inlineStr">
        <is>
          <t>Active</t>
        </is>
      </c>
      <c r="M138" s="13" t="inlineStr"/>
      <c r="N138" s="13" t="inlineStr"/>
    </row>
    <row r="139" ht="15" customHeight="1">
      <c r="A139" s="27" t="inlineStr">
        <is>
          <t>Check Valves</t>
        </is>
      </c>
      <c r="B139" s="17" t="inlineStr">
        <is>
          <t>Sandwich Type Disc Check Valve (NRV)</t>
        </is>
      </c>
      <c r="C139" s="17" t="inlineStr">
        <is>
          <t>MOC: S.S.304 (CF8) | Pressure: ASME B16.34 | Test: API 598</t>
        </is>
      </c>
      <c r="D139" s="17" t="inlineStr">
        <is>
          <t>S.S.304 (CF8)</t>
        </is>
      </c>
      <c r="E139" s="18" t="inlineStr">
        <is>
          <t>50mm</t>
        </is>
      </c>
      <c r="F139" s="17" t="inlineStr"/>
      <c r="G139" s="17" t="inlineStr"/>
      <c r="H139" s="17" t="inlineStr"/>
      <c r="I139" s="17" t="inlineStr"/>
      <c r="J139" s="17" t="inlineStr">
        <is>
          <t>Nos</t>
        </is>
      </c>
      <c r="K139" s="15" t="n">
        <v>3255</v>
      </c>
      <c r="L139" s="3" t="inlineStr">
        <is>
          <t>Active</t>
        </is>
      </c>
      <c r="M139" s="17" t="inlineStr"/>
      <c r="N139" s="17" t="inlineStr"/>
    </row>
    <row r="140" ht="15" customHeight="1">
      <c r="A140" s="26" t="inlineStr">
        <is>
          <t>Check Valves</t>
        </is>
      </c>
      <c r="B140" s="13" t="inlineStr">
        <is>
          <t>Sandwich Type Disc Check Valve (NRV)</t>
        </is>
      </c>
      <c r="C140" s="13" t="inlineStr">
        <is>
          <t>MOC: S.S.304 (CF8) | Pressure: ASME B16.34 | Test: API 598</t>
        </is>
      </c>
      <c r="D140" s="13" t="inlineStr">
        <is>
          <t>S.S.304 (CF8)</t>
        </is>
      </c>
      <c r="E140" s="14" t="inlineStr">
        <is>
          <t>65mm</t>
        </is>
      </c>
      <c r="F140" s="13" t="inlineStr"/>
      <c r="G140" s="13" t="inlineStr"/>
      <c r="H140" s="13" t="inlineStr"/>
      <c r="I140" s="13" t="inlineStr"/>
      <c r="J140" s="13" t="inlineStr">
        <is>
          <t>Nos</t>
        </is>
      </c>
      <c r="K140" s="15" t="n">
        <v>4195</v>
      </c>
      <c r="L140" s="3" t="inlineStr">
        <is>
          <t>Active</t>
        </is>
      </c>
      <c r="M140" s="13" t="inlineStr"/>
      <c r="N140" s="13" t="inlineStr"/>
    </row>
    <row r="141" ht="15" customHeight="1">
      <c r="A141" s="27" t="inlineStr">
        <is>
          <t>Check Valves</t>
        </is>
      </c>
      <c r="B141" s="17" t="inlineStr">
        <is>
          <t>Sandwich Type Disc Check Valve (NRV)</t>
        </is>
      </c>
      <c r="C141" s="17" t="inlineStr">
        <is>
          <t>MOC: S.S.304 (CF8) | Pressure: ASME B16.34 | Test: API 598</t>
        </is>
      </c>
      <c r="D141" s="17" t="inlineStr">
        <is>
          <t>S.S.304 (CF8)</t>
        </is>
      </c>
      <c r="E141" s="18" t="inlineStr">
        <is>
          <t>80mm</t>
        </is>
      </c>
      <c r="F141" s="17" t="inlineStr"/>
      <c r="G141" s="17" t="inlineStr"/>
      <c r="H141" s="17" t="inlineStr"/>
      <c r="I141" s="17" t="inlineStr"/>
      <c r="J141" s="17" t="inlineStr">
        <is>
          <t>Nos</t>
        </is>
      </c>
      <c r="K141" s="15" t="n">
        <v>5655</v>
      </c>
      <c r="L141" s="3" t="inlineStr">
        <is>
          <t>Active</t>
        </is>
      </c>
      <c r="M141" s="17" t="inlineStr"/>
      <c r="N141" s="17" t="inlineStr"/>
    </row>
    <row r="142" ht="15" customHeight="1">
      <c r="A142" s="26" t="inlineStr">
        <is>
          <t>Check Valves</t>
        </is>
      </c>
      <c r="B142" s="13" t="inlineStr">
        <is>
          <t>Sandwich Type Disc Check Valve (NRV)</t>
        </is>
      </c>
      <c r="C142" s="13" t="inlineStr">
        <is>
          <t>MOC: S.S.304 (CF8) | Pressure: ASME B16.34 | Test: API 598</t>
        </is>
      </c>
      <c r="D142" s="13" t="inlineStr">
        <is>
          <t>S.S.304 (CF8)</t>
        </is>
      </c>
      <c r="E142" s="14" t="inlineStr">
        <is>
          <t>100mm</t>
        </is>
      </c>
      <c r="F142" s="13" t="inlineStr"/>
      <c r="G142" s="13" t="inlineStr"/>
      <c r="H142" s="13" t="inlineStr"/>
      <c r="I142" s="13" t="inlineStr"/>
      <c r="J142" s="13" t="inlineStr">
        <is>
          <t>Nos</t>
        </is>
      </c>
      <c r="K142" s="15" t="n">
        <v>8355</v>
      </c>
      <c r="L142" s="3" t="inlineStr">
        <is>
          <t>Active</t>
        </is>
      </c>
      <c r="M142" s="13" t="inlineStr"/>
      <c r="N142" s="13" t="inlineStr"/>
    </row>
    <row r="143" ht="15" customHeight="1">
      <c r="A143" s="27" t="inlineStr">
        <is>
          <t>Check Valves</t>
        </is>
      </c>
      <c r="B143" s="17" t="inlineStr">
        <is>
          <t>Sandwich Type Disc Check Valve (NRV)</t>
        </is>
      </c>
      <c r="C143" s="17" t="inlineStr">
        <is>
          <t>MOC: S.S.304 (CF8) | Pressure: ASME B16.34 | Test: API 598</t>
        </is>
      </c>
      <c r="D143" s="17" t="inlineStr">
        <is>
          <t>S.S.304 (CF8)</t>
        </is>
      </c>
      <c r="E143" s="18" t="inlineStr">
        <is>
          <t>125mm</t>
        </is>
      </c>
      <c r="F143" s="17" t="inlineStr"/>
      <c r="G143" s="17" t="inlineStr"/>
      <c r="H143" s="17" t="inlineStr"/>
      <c r="I143" s="17" t="inlineStr"/>
      <c r="J143" s="17" t="inlineStr">
        <is>
          <t>Nos</t>
        </is>
      </c>
      <c r="K143" s="15" t="n">
        <v>16955</v>
      </c>
      <c r="L143" s="3" t="inlineStr">
        <is>
          <t>Active</t>
        </is>
      </c>
      <c r="M143" s="17" t="inlineStr"/>
      <c r="N143" s="17" t="inlineStr"/>
    </row>
    <row r="144" ht="15" customHeight="1">
      <c r="A144" s="26" t="inlineStr">
        <is>
          <t>Check Valves</t>
        </is>
      </c>
      <c r="B144" s="13" t="inlineStr">
        <is>
          <t>Sandwich Type Disc Check Valve (NRV)</t>
        </is>
      </c>
      <c r="C144" s="13" t="inlineStr">
        <is>
          <t>MOC: S.S.304 (CF8) | Pressure: ASME B16.34 | Test: API 598</t>
        </is>
      </c>
      <c r="D144" s="13" t="inlineStr">
        <is>
          <t>S.S.304 (CF8)</t>
        </is>
      </c>
      <c r="E144" s="14" t="inlineStr">
        <is>
          <t>150mm</t>
        </is>
      </c>
      <c r="F144" s="13" t="inlineStr"/>
      <c r="G144" s="13" t="inlineStr"/>
      <c r="H144" s="13" t="inlineStr"/>
      <c r="I144" s="13" t="inlineStr"/>
      <c r="J144" s="13" t="inlineStr">
        <is>
          <t>Nos</t>
        </is>
      </c>
      <c r="K144" s="15" t="n">
        <v>21155</v>
      </c>
      <c r="L144" s="3" t="inlineStr">
        <is>
          <t>Active</t>
        </is>
      </c>
      <c r="M144" s="13" t="inlineStr"/>
      <c r="N144" s="13" t="inlineStr"/>
    </row>
    <row r="145" ht="15" customHeight="1">
      <c r="A145" s="27" t="inlineStr">
        <is>
          <t>Check Valves</t>
        </is>
      </c>
      <c r="B145" s="17" t="inlineStr">
        <is>
          <t>Sandwich Type Disc Check Valve (NRV)</t>
        </is>
      </c>
      <c r="C145" s="17" t="inlineStr">
        <is>
          <t>MOC: S.S.304 (CF8) | Pressure: ASME B16.34 | Test: API 598</t>
        </is>
      </c>
      <c r="D145" s="17" t="inlineStr">
        <is>
          <t>S.S.304 (CF8)</t>
        </is>
      </c>
      <c r="E145" s="18" t="inlineStr">
        <is>
          <t>200mm</t>
        </is>
      </c>
      <c r="F145" s="17" t="inlineStr"/>
      <c r="G145" s="17" t="inlineStr"/>
      <c r="H145" s="17" t="inlineStr"/>
      <c r="I145" s="17" t="inlineStr"/>
      <c r="J145" s="17" t="inlineStr">
        <is>
          <t>Nos</t>
        </is>
      </c>
      <c r="K145" s="15" t="n">
        <v>35655</v>
      </c>
      <c r="L145" s="3" t="inlineStr">
        <is>
          <t>Active</t>
        </is>
      </c>
      <c r="M145" s="17" t="inlineStr"/>
      <c r="N145" s="17" t="inlineStr"/>
    </row>
    <row r="146" ht="15" customHeight="1">
      <c r="A146" s="23" t="inlineStr">
        <is>
          <t>Control Valves</t>
        </is>
      </c>
      <c r="B146" s="13" t="inlineStr">
        <is>
          <t>Cast Carbon Steel (ASTM A216 Gr. WCB) Investment Casting 2/2 Way Globe Type Pneumatic Cylinder Operated Control Valve, F/Ends ASA 150#</t>
        </is>
      </c>
      <c r="C146" s="13" t="inlineStr">
        <is>
          <t>Design: MFG STD | Body: ASTM A216 Gr WCB | Seat: Virgin PTFE/ CFT/ GFT | Trims: S.S.304 (Trim-2) | F-F: MFG STD | Pressure: ASME B16.34 | Test: API 598 | Hydro: Body 32, Seat 23 Kg/Cm2</t>
        </is>
      </c>
      <c r="D146" s="13" t="inlineStr">
        <is>
          <t>WCB Body + SS304 Trim, Pneumatic Cylinder</t>
        </is>
      </c>
      <c r="E146" s="14" t="inlineStr">
        <is>
          <t>1"</t>
        </is>
      </c>
      <c r="F146" s="13" t="inlineStr"/>
      <c r="G146" s="13" t="inlineStr"/>
      <c r="H146" s="13" t="inlineStr">
        <is>
          <t>MFG STD</t>
        </is>
      </c>
      <c r="I146" s="13" t="inlineStr">
        <is>
          <t>Body 32, Seat 23 Kg/Cm2</t>
        </is>
      </c>
      <c r="J146" s="13" t="inlineStr">
        <is>
          <t>Nos</t>
        </is>
      </c>
      <c r="K146" s="15" t="n">
        <v>8195</v>
      </c>
      <c r="L146" s="3" t="inlineStr">
        <is>
          <t>Active</t>
        </is>
      </c>
      <c r="M146" s="13" t="inlineStr"/>
      <c r="N146" s="13" t="inlineStr"/>
    </row>
    <row r="147" ht="15" customHeight="1">
      <c r="A147" s="22" t="inlineStr">
        <is>
          <t>Control Valves</t>
        </is>
      </c>
      <c r="B147" s="17" t="inlineStr">
        <is>
          <t>Cast Carbon Steel (ASTM A216 Gr. WCB) Investment Casting 2/2 Way Globe Type Pneumatic Cylinder Operated Control Valve, F/Ends ASA 150#</t>
        </is>
      </c>
      <c r="C147" s="17" t="inlineStr">
        <is>
          <t>Design: MFG STD | Body: ASTM A216 Gr WCB | Seat: Virgin PTFE/ CFT/ GFT | Trims: S.S.304 (Trim-2) | F-F: MFG STD | Pressure: ASME B16.34 | Test: API 598 | Hydro: Body 32, Seat 23 Kg/Cm2</t>
        </is>
      </c>
      <c r="D147" s="17" t="inlineStr">
        <is>
          <t>WCB Body + SS304 Trim, Pneumatic Cylinder</t>
        </is>
      </c>
      <c r="E147" s="18" t="inlineStr">
        <is>
          <t>1.5"</t>
        </is>
      </c>
      <c r="F147" s="17" t="inlineStr"/>
      <c r="G147" s="17" t="inlineStr"/>
      <c r="H147" s="17" t="inlineStr">
        <is>
          <t>MFG STD</t>
        </is>
      </c>
      <c r="I147" s="17" t="inlineStr">
        <is>
          <t>Body 32, Seat 23 Kg/Cm2</t>
        </is>
      </c>
      <c r="J147" s="17" t="inlineStr">
        <is>
          <t>Nos</t>
        </is>
      </c>
      <c r="K147" s="15" t="n">
        <v>10355</v>
      </c>
      <c r="L147" s="3" t="inlineStr">
        <is>
          <t>Active</t>
        </is>
      </c>
      <c r="M147" s="17" t="inlineStr"/>
      <c r="N147" s="17" t="inlineStr"/>
    </row>
    <row r="148" ht="15" customHeight="1">
      <c r="A148" s="23" t="inlineStr">
        <is>
          <t>Control Valves</t>
        </is>
      </c>
      <c r="B148" s="13" t="inlineStr">
        <is>
          <t>Cast Carbon Steel (ASTM A216 Gr. WCB) Investment Casting 2/2 Way Globe Type Pneumatic Cylinder Operated Control Valve, F/Ends ASA 150#</t>
        </is>
      </c>
      <c r="C148" s="13" t="inlineStr">
        <is>
          <t>Design: MFG STD | Body: ASTM A216 Gr WCB | Seat: Virgin PTFE/ CFT/ GFT | Trims: S.S.304 (Trim-2) | F-F: MFG STD | Pressure: ASME B16.34 | Test: API 598 | Hydro: Body 32, Seat 23 Kg/Cm2</t>
        </is>
      </c>
      <c r="D148" s="13" t="inlineStr">
        <is>
          <t>WCB Body + SS304 Trim, Pneumatic Cylinder</t>
        </is>
      </c>
      <c r="E148" s="14" t="inlineStr">
        <is>
          <t>2"</t>
        </is>
      </c>
      <c r="F148" s="13" t="inlineStr"/>
      <c r="G148" s="13" t="inlineStr"/>
      <c r="H148" s="13" t="inlineStr">
        <is>
          <t>MFG STD</t>
        </is>
      </c>
      <c r="I148" s="13" t="inlineStr">
        <is>
          <t>Body 32, Seat 23 Kg/Cm2</t>
        </is>
      </c>
      <c r="J148" s="13" t="inlineStr">
        <is>
          <t>Nos</t>
        </is>
      </c>
      <c r="K148" s="15" t="n">
        <v>17955</v>
      </c>
      <c r="L148" s="3" t="inlineStr">
        <is>
          <t>Active</t>
        </is>
      </c>
      <c r="M148" s="13" t="inlineStr"/>
      <c r="N148" s="13" t="inlineStr"/>
    </row>
    <row r="149" ht="15" customHeight="1">
      <c r="A149" s="22" t="inlineStr">
        <is>
          <t>Control Valves</t>
        </is>
      </c>
      <c r="B149" s="17" t="inlineStr">
        <is>
          <t>Cast Carbon Steel (ASTM A216 Gr. WCB) Investment Casting 2/2 Way Globe Type Pneumatic Cylinder Operated Control Valve, F/Ends ASA 150#</t>
        </is>
      </c>
      <c r="C149" s="17" t="inlineStr">
        <is>
          <t>Design: MFG STD | Body: ASTM A216 Gr WCB | Seat: Virgin PTFE/ CFT/ GFT | Trims: S.S.304 (Trim-2) | F-F: MFG STD | Pressure: ASME B16.34 | Test: API 598 | Hydro: Body 32, Seat 23 Kg/Cm2</t>
        </is>
      </c>
      <c r="D149" s="17" t="inlineStr">
        <is>
          <t>WCB Body + SS304 Trim, Pneumatic Cylinder</t>
        </is>
      </c>
      <c r="E149" s="18" t="inlineStr">
        <is>
          <t>2.5"</t>
        </is>
      </c>
      <c r="F149" s="17" t="inlineStr"/>
      <c r="G149" s="17" t="inlineStr"/>
      <c r="H149" s="17" t="inlineStr">
        <is>
          <t>MFG STD</t>
        </is>
      </c>
      <c r="I149" s="17" t="inlineStr">
        <is>
          <t>Body 32, Seat 23 Kg/Cm2</t>
        </is>
      </c>
      <c r="J149" s="17" t="inlineStr">
        <is>
          <t>Nos</t>
        </is>
      </c>
      <c r="K149" s="15" t="n">
        <v>28955</v>
      </c>
      <c r="L149" s="3" t="inlineStr">
        <is>
          <t>Active</t>
        </is>
      </c>
      <c r="M149" s="17" t="inlineStr"/>
      <c r="N149" s="17" t="inlineStr"/>
    </row>
    <row r="150" ht="15" customHeight="1">
      <c r="A150" s="23" t="inlineStr">
        <is>
          <t>Control Valves</t>
        </is>
      </c>
      <c r="B150" s="13" t="inlineStr">
        <is>
          <t>Cast Carbon Steel (ASTM A216 Gr. WCB) Investment Casting 2/2 Way Globe Type Pneumatic Cylinder Operated Control Valve, F/Ends ASA 150#</t>
        </is>
      </c>
      <c r="C150" s="13" t="inlineStr">
        <is>
          <t>Design: MFG STD | Body: ASTM A216 Gr WCB | Seat: Virgin PTFE/ CFT/ GFT | Trims: S.S.304 (Trim-2) | F-F: MFG STD | Pressure: ASME B16.34 | Test: API 598 | Hydro: Body 32, Seat 23 Kg/Cm2</t>
        </is>
      </c>
      <c r="D150" s="13" t="inlineStr">
        <is>
          <t>WCB Body + SS304 Trim, Pneumatic Cylinder</t>
        </is>
      </c>
      <c r="E150" s="14" t="inlineStr">
        <is>
          <t>3"</t>
        </is>
      </c>
      <c r="F150" s="13" t="inlineStr"/>
      <c r="G150" s="13" t="inlineStr"/>
      <c r="H150" s="13" t="inlineStr">
        <is>
          <t>MFG STD</t>
        </is>
      </c>
      <c r="I150" s="13" t="inlineStr">
        <is>
          <t>Body 32, Seat 23 Kg/Cm2</t>
        </is>
      </c>
      <c r="J150" s="13" t="inlineStr">
        <is>
          <t>Nos</t>
        </is>
      </c>
      <c r="K150" s="15" t="n">
        <v>30655</v>
      </c>
      <c r="L150" s="3" t="inlineStr">
        <is>
          <t>Active</t>
        </is>
      </c>
      <c r="M150" s="13" t="inlineStr"/>
      <c r="N150" s="13" t="inlineStr"/>
    </row>
    <row r="151" ht="15" customHeight="1">
      <c r="A151" s="22" t="inlineStr">
        <is>
          <t>Control Valves</t>
        </is>
      </c>
      <c r="B151" s="17" t="inlineStr">
        <is>
          <t>S.S.304 (CF8) Investment Casting "Y" Type Pneumatic Cylinder Operated Control Valve, Flanged Ends ASA 150#</t>
        </is>
      </c>
      <c r="C151" s="17" t="inlineStr">
        <is>
          <t>Body &amp; Trims: S.S.304 | Seat: Virgin PTFE/ CFT/ GFT | F-F: ASME B16.10/ DIN 3202 (Part-1) | Pressure: ASME B16.34 | Test: API 598</t>
        </is>
      </c>
      <c r="D151" s="17" t="inlineStr">
        <is>
          <t>S.S.304 (CF8), Pneumatic Cylinder</t>
        </is>
      </c>
      <c r="E151" s="18" t="inlineStr">
        <is>
          <t>1"</t>
        </is>
      </c>
      <c r="F151" s="17" t="inlineStr"/>
      <c r="G151" s="17" t="inlineStr"/>
      <c r="H151" s="17" t="inlineStr"/>
      <c r="I151" s="17" t="inlineStr"/>
      <c r="J151" s="17" t="inlineStr">
        <is>
          <t>Nos</t>
        </is>
      </c>
      <c r="K151" s="15" t="n">
        <v>8355</v>
      </c>
      <c r="L151" s="3" t="inlineStr">
        <is>
          <t>Active</t>
        </is>
      </c>
      <c r="M151" s="17" t="inlineStr"/>
      <c r="N151" s="17" t="inlineStr"/>
    </row>
    <row r="152" ht="15" customHeight="1">
      <c r="A152" s="23" t="inlineStr">
        <is>
          <t>Control Valves</t>
        </is>
      </c>
      <c r="B152" s="13" t="inlineStr">
        <is>
          <t>S.S.304 (CF8) Investment Casting "Y" Type Pneumatic Cylinder Operated Control Valve, Flanged Ends ASA 150#</t>
        </is>
      </c>
      <c r="C152" s="13" t="inlineStr">
        <is>
          <t>Body &amp; Trims: S.S.304 | Seat: Virgin PTFE/ CFT/ GFT | F-F: ASME B16.10/ DIN 3202 (Part-1) | Pressure: ASME B16.34 | Test: API 598</t>
        </is>
      </c>
      <c r="D152" s="13" t="inlineStr">
        <is>
          <t>S.S.304 (CF8), Pneumatic Cylinder</t>
        </is>
      </c>
      <c r="E152" s="14" t="inlineStr">
        <is>
          <t>1.5"</t>
        </is>
      </c>
      <c r="F152" s="13" t="inlineStr"/>
      <c r="G152" s="13" t="inlineStr"/>
      <c r="H152" s="13" t="inlineStr"/>
      <c r="I152" s="13" t="inlineStr"/>
      <c r="J152" s="13" t="inlineStr">
        <is>
          <t>Nos</t>
        </is>
      </c>
      <c r="K152" s="15" t="n">
        <v>9855</v>
      </c>
      <c r="L152" s="3" t="inlineStr">
        <is>
          <t>Active</t>
        </is>
      </c>
      <c r="M152" s="13" t="inlineStr"/>
      <c r="N152" s="13" t="inlineStr"/>
    </row>
    <row r="153" ht="15" customHeight="1">
      <c r="A153" s="22" t="inlineStr">
        <is>
          <t>Control Valves</t>
        </is>
      </c>
      <c r="B153" s="17" t="inlineStr">
        <is>
          <t>S.S.304 (CF8) Investment Casting "Y" Type Pneumatic Cylinder Operated Control Valve, Flanged Ends ASA 150#</t>
        </is>
      </c>
      <c r="C153" s="17" t="inlineStr">
        <is>
          <t>Body &amp; Trims: S.S.304 | Seat: Virgin PTFE/ CFT/ GFT | F-F: ASME B16.10/ DIN 3202 (Part-1) | Pressure: ASME B16.34 | Test: API 598</t>
        </is>
      </c>
      <c r="D153" s="17" t="inlineStr">
        <is>
          <t>S.S.304 (CF8), Pneumatic Cylinder</t>
        </is>
      </c>
      <c r="E153" s="18" t="inlineStr">
        <is>
          <t>2"</t>
        </is>
      </c>
      <c r="F153" s="17" t="inlineStr"/>
      <c r="G153" s="17" t="inlineStr"/>
      <c r="H153" s="17" t="inlineStr"/>
      <c r="I153" s="17" t="inlineStr"/>
      <c r="J153" s="17" t="inlineStr">
        <is>
          <t>Nos</t>
        </is>
      </c>
      <c r="K153" s="15" t="n">
        <v>12355</v>
      </c>
      <c r="L153" s="3" t="inlineStr">
        <is>
          <t>Active</t>
        </is>
      </c>
      <c r="M153" s="17" t="inlineStr"/>
      <c r="N153" s="17" t="inlineStr"/>
    </row>
    <row r="154" ht="15" customHeight="1">
      <c r="A154" s="23" t="inlineStr">
        <is>
          <t>Control Valves</t>
        </is>
      </c>
      <c r="B154" s="13" t="inlineStr">
        <is>
          <t>S.S.304 (CF8) Investment Casting "Y" Type Pneumatic (Air) Operated Control Valve, Flanged Ends ASA 150#</t>
        </is>
      </c>
      <c r="C154" s="13" t="inlineStr">
        <is>
          <t>Body &amp; Trims: S.S.304 | Seat: Virgin PTFE/ CFT/ GFT | F-F: ASME B16.10/ DIN 3202 (Part-1) | Pressure: ASME B16.34 | Test: API 598</t>
        </is>
      </c>
      <c r="D154" s="13" t="inlineStr">
        <is>
          <t>S.S.304 (CF8), Air Operated</t>
        </is>
      </c>
      <c r="E154" s="14" t="inlineStr">
        <is>
          <t>1/2"</t>
        </is>
      </c>
      <c r="F154" s="13" t="inlineStr"/>
      <c r="G154" s="13" t="inlineStr"/>
      <c r="H154" s="13" t="inlineStr"/>
      <c r="I154" s="13" t="inlineStr"/>
      <c r="J154" s="13" t="inlineStr">
        <is>
          <t>Nos</t>
        </is>
      </c>
      <c r="K154" s="15" t="n">
        <v>5255</v>
      </c>
      <c r="L154" s="3" t="inlineStr">
        <is>
          <t>Active</t>
        </is>
      </c>
      <c r="M154" s="13" t="inlineStr"/>
      <c r="N154" s="13" t="inlineStr"/>
    </row>
    <row r="155" ht="15" customHeight="1">
      <c r="A155" s="22" t="inlineStr">
        <is>
          <t>Control Valves</t>
        </is>
      </c>
      <c r="B155" s="17" t="inlineStr">
        <is>
          <t>S.S.304 (CF8) Investment Casting "Y" Type Pneumatic (Air) Operated Control Valve, Flanged Ends ASA 150#</t>
        </is>
      </c>
      <c r="C155" s="17" t="inlineStr">
        <is>
          <t>Body &amp; Trims: S.S.304 | Seat: Virgin PTFE/ CFT/ GFT | F-F: ASME B16.10/ DIN 3202 (Part-1) | Pressure: ASME B16.34 | Test: API 598</t>
        </is>
      </c>
      <c r="D155" s="17" t="inlineStr">
        <is>
          <t>S.S.304 (CF8), Air Operated</t>
        </is>
      </c>
      <c r="E155" s="18" t="inlineStr">
        <is>
          <t>3/4"</t>
        </is>
      </c>
      <c r="F155" s="17" t="inlineStr"/>
      <c r="G155" s="17" t="inlineStr"/>
      <c r="H155" s="17" t="inlineStr"/>
      <c r="I155" s="17" t="inlineStr"/>
      <c r="J155" s="17" t="inlineStr">
        <is>
          <t>Nos</t>
        </is>
      </c>
      <c r="K155" s="15" t="n">
        <v>5895</v>
      </c>
      <c r="L155" s="3" t="inlineStr">
        <is>
          <t>Active</t>
        </is>
      </c>
      <c r="M155" s="17" t="inlineStr"/>
      <c r="N155" s="17" t="inlineStr"/>
    </row>
    <row r="156" ht="15" customHeight="1">
      <c r="A156" s="23" t="inlineStr">
        <is>
          <t>Control Valves</t>
        </is>
      </c>
      <c r="B156" s="13" t="inlineStr">
        <is>
          <t>S.S.304 (CF8) Investment Casting "Y" Type Pneumatic (Air) Operated Control Valve, Flanged Ends ASA 150#</t>
        </is>
      </c>
      <c r="C156" s="13" t="inlineStr">
        <is>
          <t>Body &amp; Trims: S.S.304 | Seat: Virgin PTFE/ CFT/ GFT | F-F: ASME B16.10/ DIN 3202 (Part-1) | Pressure: ASME B16.34 | Test: API 598</t>
        </is>
      </c>
      <c r="D156" s="13" t="inlineStr">
        <is>
          <t>S.S.304 (CF8), Air Operated</t>
        </is>
      </c>
      <c r="E156" s="14" t="inlineStr">
        <is>
          <t>1"</t>
        </is>
      </c>
      <c r="F156" s="13" t="inlineStr"/>
      <c r="G156" s="13" t="inlineStr"/>
      <c r="H156" s="13" t="inlineStr"/>
      <c r="I156" s="13" t="inlineStr"/>
      <c r="J156" s="13" t="inlineStr">
        <is>
          <t>Nos</t>
        </is>
      </c>
      <c r="K156" s="15" t="n">
        <v>6155</v>
      </c>
      <c r="L156" s="3" t="inlineStr">
        <is>
          <t>Active</t>
        </is>
      </c>
      <c r="M156" s="13" t="inlineStr"/>
      <c r="N156" s="13" t="inlineStr"/>
    </row>
    <row r="157" ht="15" customHeight="1">
      <c r="A157" s="22" t="inlineStr">
        <is>
          <t>Control Valves</t>
        </is>
      </c>
      <c r="B157" s="17" t="inlineStr">
        <is>
          <t>S.S.304 (CF8) Investment Casting "Y" Type Pneumatic (Air) Operated Control Valve, Flanged Ends ASA 150#</t>
        </is>
      </c>
      <c r="C157" s="17" t="inlineStr">
        <is>
          <t>Body &amp; Trims: S.S.304 | Seat: Virgin PTFE/ CFT/ GFT | F-F: ASME B16.10/ DIN 3202 (Part-1) | Pressure: ASME B16.34 | Test: API 598</t>
        </is>
      </c>
      <c r="D157" s="17" t="inlineStr">
        <is>
          <t>S.S.304 (CF8), Air Operated</t>
        </is>
      </c>
      <c r="E157" s="18" t="inlineStr">
        <is>
          <t>1.5"</t>
        </is>
      </c>
      <c r="F157" s="17" t="inlineStr"/>
      <c r="G157" s="17" t="inlineStr"/>
      <c r="H157" s="17" t="inlineStr"/>
      <c r="I157" s="17" t="inlineStr"/>
      <c r="J157" s="17" t="inlineStr">
        <is>
          <t>Nos</t>
        </is>
      </c>
      <c r="K157" s="15" t="n">
        <v>8755</v>
      </c>
      <c r="L157" s="3" t="inlineStr">
        <is>
          <t>Active</t>
        </is>
      </c>
      <c r="M157" s="17" t="inlineStr"/>
      <c r="N157" s="17" t="inlineStr"/>
    </row>
    <row r="158" ht="15" customHeight="1">
      <c r="A158" s="23" t="inlineStr">
        <is>
          <t>Control Valves</t>
        </is>
      </c>
      <c r="B158" s="13" t="inlineStr">
        <is>
          <t>S.S.304 (CF8) Investment Casting "Y" Type Pneumatic (Air) Operated Control Valve, Flanged Ends ASA 150#</t>
        </is>
      </c>
      <c r="C158" s="13" t="inlineStr">
        <is>
          <t>Body &amp; Trims: S.S.304 | Seat: Virgin PTFE/ CFT/ GFT | F-F: ASME B16.10/ DIN 3202 (Part-1) | Pressure: ASME B16.34 | Test: API 598</t>
        </is>
      </c>
      <c r="D158" s="13" t="inlineStr">
        <is>
          <t>S.S.304 (CF8), Air Operated</t>
        </is>
      </c>
      <c r="E158" s="14" t="inlineStr">
        <is>
          <t>2"</t>
        </is>
      </c>
      <c r="F158" s="13" t="inlineStr"/>
      <c r="G158" s="13" t="inlineStr"/>
      <c r="H158" s="13" t="inlineStr"/>
      <c r="I158" s="13" t="inlineStr"/>
      <c r="J158" s="13" t="inlineStr">
        <is>
          <t>Nos</t>
        </is>
      </c>
      <c r="K158" s="15" t="n">
        <v>10655</v>
      </c>
      <c r="L158" s="3" t="inlineStr">
        <is>
          <t>Active</t>
        </is>
      </c>
      <c r="M158" s="13" t="inlineStr"/>
      <c r="N158" s="13" t="inlineStr"/>
    </row>
    <row r="159" ht="15" customHeight="1">
      <c r="A159" s="22" t="inlineStr">
        <is>
          <t>Control Valves</t>
        </is>
      </c>
      <c r="B159" s="17" t="inlineStr">
        <is>
          <t>S.S.304 (CF8) Investment Casting "Y" Type Pneumatic (Air) Operated Control Valve, Screwed Ends</t>
        </is>
      </c>
      <c r="C159" s="17" t="inlineStr">
        <is>
          <t>Body &amp; Trims: S.S.304 | Seat: Virgin PTFE/ CFT/ GFT | Pressure: ASME B16.34 | Test: API 598</t>
        </is>
      </c>
      <c r="D159" s="17" t="inlineStr">
        <is>
          <t>S.S.304 (CF8), Air Operated</t>
        </is>
      </c>
      <c r="E159" s="18" t="inlineStr">
        <is>
          <t>1/2"</t>
        </is>
      </c>
      <c r="F159" s="17" t="inlineStr"/>
      <c r="G159" s="17" t="inlineStr"/>
      <c r="H159" s="17" t="inlineStr"/>
      <c r="I159" s="17" t="inlineStr"/>
      <c r="J159" s="17" t="inlineStr">
        <is>
          <t>Nos</t>
        </is>
      </c>
      <c r="K159" s="15" t="n">
        <v>4155</v>
      </c>
      <c r="L159" s="3" t="inlineStr">
        <is>
          <t>Active</t>
        </is>
      </c>
      <c r="M159" s="17" t="inlineStr"/>
      <c r="N159" s="17" t="inlineStr"/>
    </row>
    <row r="160" ht="15" customHeight="1">
      <c r="A160" s="23" t="inlineStr">
        <is>
          <t>Control Valves</t>
        </is>
      </c>
      <c r="B160" s="13" t="inlineStr">
        <is>
          <t>S.S.304 (CF8) Investment Casting "Y" Type Pneumatic (Air) Operated Control Valve, Screwed Ends</t>
        </is>
      </c>
      <c r="C160" s="13" t="inlineStr">
        <is>
          <t>Body &amp; Trims: S.S.304 | Seat: Virgin PTFE/ CFT/ GFT | Pressure: ASME B16.34 | Test: API 598</t>
        </is>
      </c>
      <c r="D160" s="13" t="inlineStr">
        <is>
          <t>S.S.304 (CF8), Air Operated</t>
        </is>
      </c>
      <c r="E160" s="14" t="inlineStr">
        <is>
          <t>3/4"</t>
        </is>
      </c>
      <c r="F160" s="13" t="inlineStr"/>
      <c r="G160" s="13" t="inlineStr"/>
      <c r="H160" s="13" t="inlineStr"/>
      <c r="I160" s="13" t="inlineStr"/>
      <c r="J160" s="13" t="inlineStr">
        <is>
          <t>Nos</t>
        </is>
      </c>
      <c r="K160" s="15" t="n">
        <v>5155</v>
      </c>
      <c r="L160" s="3" t="inlineStr">
        <is>
          <t>Active</t>
        </is>
      </c>
      <c r="M160" s="13" t="inlineStr"/>
      <c r="N160" s="13" t="inlineStr"/>
    </row>
    <row r="161" ht="15" customHeight="1">
      <c r="A161" s="22" t="inlineStr">
        <is>
          <t>Control Valves</t>
        </is>
      </c>
      <c r="B161" s="17" t="inlineStr">
        <is>
          <t>S.S.304 (CF8) Investment Casting "Y" Type Pneumatic (Air) Operated Control Valve, Screwed Ends</t>
        </is>
      </c>
      <c r="C161" s="17" t="inlineStr">
        <is>
          <t>Body &amp; Trims: S.S.304 | Seat: Virgin PTFE/ CFT/ GFT | Pressure: ASME B16.34 | Test: API 598</t>
        </is>
      </c>
      <c r="D161" s="17" t="inlineStr">
        <is>
          <t>S.S.304 (CF8), Air Operated</t>
        </is>
      </c>
      <c r="E161" s="18" t="inlineStr">
        <is>
          <t>1"</t>
        </is>
      </c>
      <c r="F161" s="17" t="inlineStr"/>
      <c r="G161" s="17" t="inlineStr"/>
      <c r="H161" s="17" t="inlineStr"/>
      <c r="I161" s="17" t="inlineStr"/>
      <c r="J161" s="17" t="inlineStr">
        <is>
          <t>Nos</t>
        </is>
      </c>
      <c r="K161" s="15" t="n">
        <v>5755</v>
      </c>
      <c r="L161" s="3" t="inlineStr">
        <is>
          <t>Active</t>
        </is>
      </c>
      <c r="M161" s="17" t="inlineStr"/>
      <c r="N161" s="17" t="inlineStr"/>
    </row>
    <row r="162" ht="15" customHeight="1">
      <c r="A162" s="23" t="inlineStr">
        <is>
          <t>Control Valves</t>
        </is>
      </c>
      <c r="B162" s="13" t="inlineStr">
        <is>
          <t>S.S.304 (CF8) Investment Casting "Y" Type Pneumatic (Air) Operated Control Valve, Screwed Ends</t>
        </is>
      </c>
      <c r="C162" s="13" t="inlineStr">
        <is>
          <t>Body &amp; Trims: S.S.304 | Seat: Virgin PTFE/ CFT/ GFT | Pressure: ASME B16.34 | Test: API 598</t>
        </is>
      </c>
      <c r="D162" s="13" t="inlineStr">
        <is>
          <t>S.S.304 (CF8), Air Operated</t>
        </is>
      </c>
      <c r="E162" s="14" t="inlineStr">
        <is>
          <t>1.5"</t>
        </is>
      </c>
      <c r="F162" s="13" t="inlineStr"/>
      <c r="G162" s="13" t="inlineStr"/>
      <c r="H162" s="13" t="inlineStr"/>
      <c r="I162" s="13" t="inlineStr"/>
      <c r="J162" s="13" t="inlineStr">
        <is>
          <t>Nos</t>
        </is>
      </c>
      <c r="K162" s="15" t="n">
        <v>7355</v>
      </c>
      <c r="L162" s="3" t="inlineStr">
        <is>
          <t>Active</t>
        </is>
      </c>
      <c r="M162" s="13" t="inlineStr"/>
      <c r="N162" s="13" t="inlineStr"/>
    </row>
    <row r="163" ht="15" customHeight="1">
      <c r="A163" s="22" t="inlineStr">
        <is>
          <t>Control Valves</t>
        </is>
      </c>
      <c r="B163" s="17" t="inlineStr">
        <is>
          <t>S.S.304 (CF8) Investment Casting "Y" Type Pneumatic (Air) Operated Control Valve, Screwed Ends</t>
        </is>
      </c>
      <c r="C163" s="17" t="inlineStr">
        <is>
          <t>Body &amp; Trims: S.S.304 | Seat: Virgin PTFE/ CFT/ GFT | Pressure: ASME B16.34 | Test: API 598</t>
        </is>
      </c>
      <c r="D163" s="17" t="inlineStr">
        <is>
          <t>S.S.304 (CF8), Air Operated</t>
        </is>
      </c>
      <c r="E163" s="18" t="inlineStr">
        <is>
          <t>2"</t>
        </is>
      </c>
      <c r="F163" s="17" t="inlineStr"/>
      <c r="G163" s="17" t="inlineStr"/>
      <c r="H163" s="17" t="inlineStr"/>
      <c r="I163" s="17" t="inlineStr"/>
      <c r="J163" s="17" t="inlineStr">
        <is>
          <t>Nos</t>
        </is>
      </c>
      <c r="K163" s="15" t="n">
        <v>8755</v>
      </c>
      <c r="L163" s="3" t="inlineStr">
        <is>
          <t>Active</t>
        </is>
      </c>
      <c r="M163" s="17" t="inlineStr"/>
      <c r="N163" s="17" t="inlineStr"/>
    </row>
    <row r="164" ht="15" customHeight="1">
      <c r="A164" s="32" t="inlineStr">
        <is>
          <t>Piston Valves</t>
        </is>
      </c>
      <c r="B164" s="13" t="inlineStr">
        <is>
          <t>Non IBR Forged Steel (ASTM A105) Piston Valve, Screwed Ends/ Socket Weld Ends 800#</t>
        </is>
      </c>
      <c r="C164" s="13" t="inlineStr">
        <is>
          <t>Body: ASTM A105 | Trims: S.S.410 | F-F: ASME B16.10 | Pressure: ASME B16.34 | Test: API 598 | Hydro: Body 78, Seat 59 Kg/Cm2</t>
        </is>
      </c>
      <c r="D164" s="13" t="inlineStr">
        <is>
          <t>ASTM A105 Body + SS410 Trim</t>
        </is>
      </c>
      <c r="E164" s="14" t="inlineStr">
        <is>
          <t>15mm</t>
        </is>
      </c>
      <c r="F164" s="13" t="inlineStr"/>
      <c r="G164" s="13" t="inlineStr"/>
      <c r="H164" s="13" t="inlineStr"/>
      <c r="I164" s="13" t="inlineStr">
        <is>
          <t>Body 78, Seat 59 Kg/Cm2</t>
        </is>
      </c>
      <c r="J164" s="13" t="inlineStr">
        <is>
          <t>Nos</t>
        </is>
      </c>
      <c r="K164" s="15" t="n">
        <v>3195</v>
      </c>
      <c r="L164" s="3" t="inlineStr">
        <is>
          <t>Active</t>
        </is>
      </c>
      <c r="M164" s="13" t="inlineStr"/>
      <c r="N164" s="13" t="inlineStr"/>
    </row>
    <row r="165" ht="15" customHeight="1">
      <c r="A165" s="33" t="inlineStr">
        <is>
          <t>Piston Valves</t>
        </is>
      </c>
      <c r="B165" s="17" t="inlineStr">
        <is>
          <t>Non IBR Forged Steel (ASTM A105) Piston Valve, Screwed Ends/ Socket Weld Ends 800#</t>
        </is>
      </c>
      <c r="C165" s="17" t="inlineStr">
        <is>
          <t>Body: ASTM A105 | Trims: S.S.410 | F-F: ASME B16.10 | Pressure: ASME B16.34 | Test: API 598 | Hydro: Body 78, Seat 59 Kg/Cm2</t>
        </is>
      </c>
      <c r="D165" s="17" t="inlineStr">
        <is>
          <t>ASTM A105 Body + SS410 Trim</t>
        </is>
      </c>
      <c r="E165" s="18" t="inlineStr">
        <is>
          <t>20mm</t>
        </is>
      </c>
      <c r="F165" s="17" t="inlineStr"/>
      <c r="G165" s="17" t="inlineStr"/>
      <c r="H165" s="17" t="inlineStr"/>
      <c r="I165" s="17" t="inlineStr">
        <is>
          <t>Body 78, Seat 59 Kg/Cm2</t>
        </is>
      </c>
      <c r="J165" s="17" t="inlineStr">
        <is>
          <t>Nos</t>
        </is>
      </c>
      <c r="K165" s="15" t="n">
        <v>3355</v>
      </c>
      <c r="L165" s="3" t="inlineStr">
        <is>
          <t>Active</t>
        </is>
      </c>
      <c r="M165" s="17" t="inlineStr"/>
      <c r="N165" s="17" t="inlineStr"/>
    </row>
    <row r="166" ht="15" customHeight="1">
      <c r="A166" s="32" t="inlineStr">
        <is>
          <t>Piston Valves</t>
        </is>
      </c>
      <c r="B166" s="13" t="inlineStr">
        <is>
          <t>Non IBR Forged Steel (ASTM A105) Piston Valve, Screwed Ends/ Socket Weld Ends 800#</t>
        </is>
      </c>
      <c r="C166" s="13" t="inlineStr">
        <is>
          <t>Body: ASTM A105 | Trims: S.S.410 | F-F: ASME B16.10 | Pressure: ASME B16.34 | Test: API 598 | Hydro: Body 78, Seat 59 Kg/Cm2</t>
        </is>
      </c>
      <c r="D166" s="13" t="inlineStr">
        <is>
          <t>ASTM A105 Body + SS410 Trim</t>
        </is>
      </c>
      <c r="E166" s="14" t="inlineStr">
        <is>
          <t>25mm</t>
        </is>
      </c>
      <c r="F166" s="13" t="inlineStr"/>
      <c r="G166" s="13" t="inlineStr"/>
      <c r="H166" s="13" t="inlineStr"/>
      <c r="I166" s="13" t="inlineStr">
        <is>
          <t>Body 78, Seat 59 Kg/Cm2</t>
        </is>
      </c>
      <c r="J166" s="13" t="inlineStr">
        <is>
          <t>Nos</t>
        </is>
      </c>
      <c r="K166" s="15" t="n">
        <v>5355</v>
      </c>
      <c r="L166" s="3" t="inlineStr">
        <is>
          <t>Active</t>
        </is>
      </c>
      <c r="M166" s="13" t="inlineStr"/>
      <c r="N166" s="13" t="inlineStr"/>
    </row>
    <row r="167" ht="15" customHeight="1">
      <c r="A167" s="33" t="inlineStr">
        <is>
          <t>Piston Valves</t>
        </is>
      </c>
      <c r="B167" s="17" t="inlineStr">
        <is>
          <t>Non IBR Forged Steel (ASTM A105) Piston Valve, Screwed Ends/ Socket Weld Ends 800#</t>
        </is>
      </c>
      <c r="C167" s="17" t="inlineStr">
        <is>
          <t>Body: ASTM A105 | Trims: S.S.410 | F-F: ASME B16.10 | Pressure: ASME B16.34 | Test: API 598 | Hydro: Body 78, Seat 59 Kg/Cm2</t>
        </is>
      </c>
      <c r="D167" s="17" t="inlineStr">
        <is>
          <t>ASTM A105 Body + SS410 Trim</t>
        </is>
      </c>
      <c r="E167" s="18" t="inlineStr">
        <is>
          <t>40mm</t>
        </is>
      </c>
      <c r="F167" s="17" t="inlineStr"/>
      <c r="G167" s="17" t="inlineStr"/>
      <c r="H167" s="17" t="inlineStr"/>
      <c r="I167" s="17" t="inlineStr">
        <is>
          <t>Body 78, Seat 59 Kg/Cm2</t>
        </is>
      </c>
      <c r="J167" s="17" t="inlineStr">
        <is>
          <t>Nos</t>
        </is>
      </c>
      <c r="K167" s="15" t="n">
        <v>10655</v>
      </c>
      <c r="L167" s="3" t="inlineStr">
        <is>
          <t>Active</t>
        </is>
      </c>
      <c r="M167" s="17" t="inlineStr"/>
      <c r="N167" s="17" t="inlineStr"/>
    </row>
    <row r="168" ht="15" customHeight="1">
      <c r="A168" s="32" t="inlineStr">
        <is>
          <t>Piston Valves</t>
        </is>
      </c>
      <c r="B168" s="13" t="inlineStr">
        <is>
          <t>Non IBR Cast Carbon Steel (ASTM A216 Gr. WCB) Piston Valve, F/Ends 150#</t>
        </is>
      </c>
      <c r="C168" s="13" t="inlineStr">
        <is>
          <t>Body: ASTM A216 Gr WCB | Trims: S.S.410 | F-F: ASME B16.10 | Pressure: ASME B16.34 | Test: API 598 | Hydro: Body 32, Seat 23 Kg/Cm2</t>
        </is>
      </c>
      <c r="D168" s="13" t="inlineStr">
        <is>
          <t>ASTM A216 Gr WCB + SS410 Trim</t>
        </is>
      </c>
      <c r="E168" s="14" t="inlineStr">
        <is>
          <t>15mm</t>
        </is>
      </c>
      <c r="F168" s="13" t="inlineStr"/>
      <c r="G168" s="13" t="inlineStr"/>
      <c r="H168" s="13" t="inlineStr"/>
      <c r="I168" s="13" t="inlineStr">
        <is>
          <t>Body 32, Seat 23 Kg/Cm2</t>
        </is>
      </c>
      <c r="J168" s="13" t="inlineStr">
        <is>
          <t>Nos</t>
        </is>
      </c>
      <c r="K168" s="15" t="n">
        <v>4195</v>
      </c>
      <c r="L168" s="3" t="inlineStr">
        <is>
          <t>Active</t>
        </is>
      </c>
      <c r="M168" s="13" t="inlineStr"/>
      <c r="N168" s="13" t="inlineStr"/>
    </row>
    <row r="169" ht="15" customHeight="1">
      <c r="A169" s="33" t="inlineStr">
        <is>
          <t>Piston Valves</t>
        </is>
      </c>
      <c r="B169" s="17" t="inlineStr">
        <is>
          <t>Non IBR Cast Carbon Steel (ASTM A216 Gr. WCB) Piston Valve, F/Ends 150#</t>
        </is>
      </c>
      <c r="C169" s="17" t="inlineStr">
        <is>
          <t>Body: ASTM A216 Gr WCB | Trims: S.S.410 | F-F: ASME B16.10 | Pressure: ASME B16.34 | Test: API 598 | Hydro: Body 32, Seat 23 Kg/Cm2</t>
        </is>
      </c>
      <c r="D169" s="17" t="inlineStr">
        <is>
          <t>ASTM A216 Gr WCB + SS410 Trim</t>
        </is>
      </c>
      <c r="E169" s="18" t="inlineStr">
        <is>
          <t>20mm</t>
        </is>
      </c>
      <c r="F169" s="17" t="inlineStr"/>
      <c r="G169" s="17" t="inlineStr"/>
      <c r="H169" s="17" t="inlineStr"/>
      <c r="I169" s="17" t="inlineStr">
        <is>
          <t>Body 32, Seat 23 Kg/Cm2</t>
        </is>
      </c>
      <c r="J169" s="17" t="inlineStr">
        <is>
          <t>Nos</t>
        </is>
      </c>
      <c r="K169" s="15" t="n">
        <v>5155</v>
      </c>
      <c r="L169" s="3" t="inlineStr">
        <is>
          <t>Active</t>
        </is>
      </c>
      <c r="M169" s="17" t="inlineStr"/>
      <c r="N169" s="17" t="inlineStr"/>
    </row>
    <row r="170" ht="15" customHeight="1">
      <c r="A170" s="32" t="inlineStr">
        <is>
          <t>Piston Valves</t>
        </is>
      </c>
      <c r="B170" s="13" t="inlineStr">
        <is>
          <t>Non IBR Cast Carbon Steel (ASTM A216 Gr. WCB) Piston Valve, F/Ends 150#</t>
        </is>
      </c>
      <c r="C170" s="13" t="inlineStr">
        <is>
          <t>Body: ASTM A216 Gr WCB | Trims: S.S.410 | F-F: ASME B16.10 | Pressure: ASME B16.34 | Test: API 598 | Hydro: Body 32, Seat 23 Kg/Cm2</t>
        </is>
      </c>
      <c r="D170" s="13" t="inlineStr">
        <is>
          <t>ASTM A216 Gr WCB + SS410 Trim</t>
        </is>
      </c>
      <c r="E170" s="14" t="inlineStr">
        <is>
          <t>25mm</t>
        </is>
      </c>
      <c r="F170" s="13" t="inlineStr"/>
      <c r="G170" s="13" t="inlineStr"/>
      <c r="H170" s="13" t="inlineStr"/>
      <c r="I170" s="13" t="inlineStr">
        <is>
          <t>Body 32, Seat 23 Kg/Cm2</t>
        </is>
      </c>
      <c r="J170" s="13" t="inlineStr">
        <is>
          <t>Nos</t>
        </is>
      </c>
      <c r="K170" s="15" t="n">
        <v>5755</v>
      </c>
      <c r="L170" s="3" t="inlineStr">
        <is>
          <t>Active</t>
        </is>
      </c>
      <c r="M170" s="13" t="inlineStr"/>
      <c r="N170" s="13" t="inlineStr"/>
    </row>
    <row r="171" ht="15" customHeight="1">
      <c r="A171" s="33" t="inlineStr">
        <is>
          <t>Piston Valves</t>
        </is>
      </c>
      <c r="B171" s="17" t="inlineStr">
        <is>
          <t>Non IBR Cast Carbon Steel (ASTM A216 Gr. WCB) Piston Valve, F/Ends 150#</t>
        </is>
      </c>
      <c r="C171" s="17" t="inlineStr">
        <is>
          <t>Body: ASTM A216 Gr WCB | Trims: S.S.410 | F-F: ASME B16.10 | Pressure: ASME B16.34 | Test: API 598 | Hydro: Body 32, Seat 23 Kg/Cm2</t>
        </is>
      </c>
      <c r="D171" s="17" t="inlineStr">
        <is>
          <t>ASTM A216 Gr WCB + SS410 Trim</t>
        </is>
      </c>
      <c r="E171" s="18" t="inlineStr">
        <is>
          <t>40mm</t>
        </is>
      </c>
      <c r="F171" s="17" t="inlineStr"/>
      <c r="G171" s="17" t="inlineStr"/>
      <c r="H171" s="17" t="inlineStr"/>
      <c r="I171" s="17" t="inlineStr">
        <is>
          <t>Body 32, Seat 23 Kg/Cm2</t>
        </is>
      </c>
      <c r="J171" s="17" t="inlineStr">
        <is>
          <t>Nos</t>
        </is>
      </c>
      <c r="K171" s="15" t="n">
        <v>11655</v>
      </c>
      <c r="L171" s="3" t="inlineStr">
        <is>
          <t>Active</t>
        </is>
      </c>
      <c r="M171" s="17" t="inlineStr"/>
      <c r="N171" s="17" t="inlineStr"/>
    </row>
    <row r="172" ht="15" customHeight="1">
      <c r="A172" s="32" t="inlineStr">
        <is>
          <t>Piston Valves</t>
        </is>
      </c>
      <c r="B172" s="13" t="inlineStr">
        <is>
          <t>Non IBR Cast Carbon Steel (ASTM A216 Gr. WCB) Piston Valve, F/Ends 150#</t>
        </is>
      </c>
      <c r="C172" s="13" t="inlineStr">
        <is>
          <t>Body: ASTM A216 Gr WCB | Trims: S.S.410 | F-F: ASME B16.10 | Pressure: ASME B16.34 | Test: API 598 | Hydro: Body 32, Seat 23 Kg/Cm2</t>
        </is>
      </c>
      <c r="D172" s="13" t="inlineStr">
        <is>
          <t>ASTM A216 Gr WCB + SS410 Trim</t>
        </is>
      </c>
      <c r="E172" s="14" t="inlineStr">
        <is>
          <t>50mm</t>
        </is>
      </c>
      <c r="F172" s="13" t="inlineStr"/>
      <c r="G172" s="13" t="inlineStr"/>
      <c r="H172" s="13" t="inlineStr"/>
      <c r="I172" s="13" t="inlineStr">
        <is>
          <t>Body 32, Seat 23 Kg/Cm2</t>
        </is>
      </c>
      <c r="J172" s="13" t="inlineStr">
        <is>
          <t>Nos</t>
        </is>
      </c>
      <c r="K172" s="15" t="n">
        <v>16155</v>
      </c>
      <c r="L172" s="3" t="inlineStr">
        <is>
          <t>Active</t>
        </is>
      </c>
      <c r="M172" s="13" t="inlineStr"/>
      <c r="N172" s="13" t="inlineStr"/>
    </row>
    <row r="173" ht="15" customHeight="1">
      <c r="A173" s="34" t="inlineStr">
        <is>
          <t>Butterfly Valves</t>
        </is>
      </c>
      <c r="B173" s="17" t="inlineStr">
        <is>
          <t>Wafer Type Butterfly Valve, Cast Iron Body, Nitrile/EPDM Rubber Moulded Seat, Lever Operated, Suitable for 150#</t>
        </is>
      </c>
      <c r="C173" s="17" t="inlineStr">
        <is>
          <t>Design: BS 5155 / API 609 / EN 593 / IS 13095 | F-F: ASME B16.5 | Test: API 598</t>
        </is>
      </c>
      <c r="D173" s="17" t="inlineStr">
        <is>
          <t>Cast Iron Body + S.S.304 (CF8) Disc</t>
        </is>
      </c>
      <c r="E173" s="18" t="inlineStr">
        <is>
          <t>40mm</t>
        </is>
      </c>
      <c r="F173" s="17" t="inlineStr"/>
      <c r="G173" s="17" t="inlineStr"/>
      <c r="H173" s="17" t="inlineStr">
        <is>
          <t>BS 5155 / API 609 / EN 593 / IS 13095</t>
        </is>
      </c>
      <c r="I173" s="17" t="inlineStr"/>
      <c r="J173" s="17" t="inlineStr">
        <is>
          <t>Nos</t>
        </is>
      </c>
      <c r="K173" s="15" t="n">
        <v>1955</v>
      </c>
      <c r="L173" s="3" t="inlineStr">
        <is>
          <t>Active</t>
        </is>
      </c>
      <c r="M173" s="17" t="inlineStr"/>
      <c r="N173" s="17" t="inlineStr"/>
    </row>
    <row r="174" ht="15" customHeight="1">
      <c r="A174" s="35" t="inlineStr">
        <is>
          <t>Butterfly Valves</t>
        </is>
      </c>
      <c r="B174" s="13" t="inlineStr">
        <is>
          <t>Wafer Type Butterfly Valve, Cast Iron Body, Nitrile/EPDM Rubber Moulded Seat, Lever Operated, Suitable for 150#</t>
        </is>
      </c>
      <c r="C174" s="13" t="inlineStr">
        <is>
          <t>Design: BS 5155 / API 609 / EN 593 / IS 13095 | F-F: ASME B16.5 | Test: API 598</t>
        </is>
      </c>
      <c r="D174" s="13" t="inlineStr">
        <is>
          <t>Cast Iron Body + S.S.304 (CF8) Disc</t>
        </is>
      </c>
      <c r="E174" s="14" t="inlineStr">
        <is>
          <t>50mm</t>
        </is>
      </c>
      <c r="F174" s="13" t="inlineStr"/>
      <c r="G174" s="13" t="inlineStr"/>
      <c r="H174" s="13" t="inlineStr">
        <is>
          <t>BS 5155 / API 609 / EN 593 / IS 13095</t>
        </is>
      </c>
      <c r="I174" s="13" t="inlineStr"/>
      <c r="J174" s="13" t="inlineStr">
        <is>
          <t>Nos</t>
        </is>
      </c>
      <c r="K174" s="15" t="n">
        <v>2355</v>
      </c>
      <c r="L174" s="3" t="inlineStr">
        <is>
          <t>Active</t>
        </is>
      </c>
      <c r="M174" s="13" t="inlineStr"/>
      <c r="N174" s="13" t="inlineStr"/>
    </row>
    <row r="175" ht="15" customHeight="1">
      <c r="A175" s="34" t="inlineStr">
        <is>
          <t>Butterfly Valves</t>
        </is>
      </c>
      <c r="B175" s="17" t="inlineStr">
        <is>
          <t>Wafer Type Butterfly Valve, Cast Iron Body, Nitrile/EPDM Rubber Moulded Seat, Lever Operated, Suitable for 150#</t>
        </is>
      </c>
      <c r="C175" s="17" t="inlineStr">
        <is>
          <t>Design: BS 5155 / API 609 / EN 593 / IS 13095 | F-F: ASME B16.5 | Test: API 598</t>
        </is>
      </c>
      <c r="D175" s="17" t="inlineStr">
        <is>
          <t>Cast Iron Body + S.S.304 (CF8) Disc</t>
        </is>
      </c>
      <c r="E175" s="18" t="inlineStr">
        <is>
          <t>65mm</t>
        </is>
      </c>
      <c r="F175" s="17" t="inlineStr"/>
      <c r="G175" s="17" t="inlineStr"/>
      <c r="H175" s="17" t="inlineStr">
        <is>
          <t>BS 5155 / API 609 / EN 593 / IS 13095</t>
        </is>
      </c>
      <c r="I175" s="17" t="inlineStr"/>
      <c r="J175" s="17" t="inlineStr">
        <is>
          <t>Nos</t>
        </is>
      </c>
      <c r="K175" s="15" t="n">
        <v>2655</v>
      </c>
      <c r="L175" s="3" t="inlineStr">
        <is>
          <t>Active</t>
        </is>
      </c>
      <c r="M175" s="17" t="inlineStr"/>
      <c r="N175" s="17" t="inlineStr"/>
    </row>
    <row r="176" ht="15" customHeight="1">
      <c r="A176" s="35" t="inlineStr">
        <is>
          <t>Butterfly Valves</t>
        </is>
      </c>
      <c r="B176" s="13" t="inlineStr">
        <is>
          <t>Wafer Type Butterfly Valve, Cast Iron Body, Nitrile/EPDM Rubber Moulded Seat, Lever Operated, Suitable for 150#</t>
        </is>
      </c>
      <c r="C176" s="13" t="inlineStr">
        <is>
          <t>Design: BS 5155 / API 609 / EN 593 / IS 13095 | F-F: ASME B16.5 | Test: API 598</t>
        </is>
      </c>
      <c r="D176" s="13" t="inlineStr">
        <is>
          <t>Cast Iron Body + S.S.304 (CF8) Disc</t>
        </is>
      </c>
      <c r="E176" s="14" t="inlineStr">
        <is>
          <t>80mm</t>
        </is>
      </c>
      <c r="F176" s="13" t="inlineStr"/>
      <c r="G176" s="13" t="inlineStr"/>
      <c r="H176" s="13" t="inlineStr">
        <is>
          <t>BS 5155 / API 609 / EN 593 / IS 13095</t>
        </is>
      </c>
      <c r="I176" s="13" t="inlineStr"/>
      <c r="J176" s="13" t="inlineStr">
        <is>
          <t>Nos</t>
        </is>
      </c>
      <c r="K176" s="15" t="n">
        <v>3155</v>
      </c>
      <c r="L176" s="3" t="inlineStr">
        <is>
          <t>Active</t>
        </is>
      </c>
      <c r="M176" s="13" t="inlineStr"/>
      <c r="N176" s="13" t="inlineStr"/>
    </row>
    <row r="177" ht="15" customHeight="1">
      <c r="A177" s="34" t="inlineStr">
        <is>
          <t>Butterfly Valves</t>
        </is>
      </c>
      <c r="B177" s="17" t="inlineStr">
        <is>
          <t>Wafer Type Butterfly Valve, Cast Iron Body, Nitrile/EPDM Rubber Moulded Seat, Lever Operated, Suitable for 150#</t>
        </is>
      </c>
      <c r="C177" s="17" t="inlineStr">
        <is>
          <t>Design: BS 5155 / API 609 / EN 593 / IS 13095 | F-F: ASME B16.5 | Test: API 598</t>
        </is>
      </c>
      <c r="D177" s="17" t="inlineStr">
        <is>
          <t>Cast Iron Body + S.S.304 (CF8) Disc</t>
        </is>
      </c>
      <c r="E177" s="18" t="inlineStr">
        <is>
          <t>100mm</t>
        </is>
      </c>
      <c r="F177" s="17" t="inlineStr"/>
      <c r="G177" s="17" t="inlineStr"/>
      <c r="H177" s="17" t="inlineStr">
        <is>
          <t>BS 5155 / API 609 / EN 593 / IS 13095</t>
        </is>
      </c>
      <c r="I177" s="17" t="inlineStr"/>
      <c r="J177" s="17" t="inlineStr">
        <is>
          <t>Nos</t>
        </is>
      </c>
      <c r="K177" s="15" t="n">
        <v>4355</v>
      </c>
      <c r="L177" s="3" t="inlineStr">
        <is>
          <t>Active</t>
        </is>
      </c>
      <c r="M177" s="17" t="inlineStr"/>
      <c r="N177" s="17" t="inlineStr"/>
    </row>
    <row r="178" ht="15" customHeight="1">
      <c r="A178" s="35" t="inlineStr">
        <is>
          <t>Butterfly Valves</t>
        </is>
      </c>
      <c r="B178" s="13" t="inlineStr">
        <is>
          <t>Wafer Type Butterfly Valve, Cast Iron Body, Nitrile/EPDM Rubber Moulded Seat, Lever Operated, Suitable for 150#</t>
        </is>
      </c>
      <c r="C178" s="13" t="inlineStr">
        <is>
          <t>Design: BS 5155 / API 609 / EN 593 / IS 13095 | F-F: ASME B16.5 | Test: API 598</t>
        </is>
      </c>
      <c r="D178" s="13" t="inlineStr">
        <is>
          <t>Cast Iron Body + S.S.304 (CF8) Disc</t>
        </is>
      </c>
      <c r="E178" s="14" t="inlineStr">
        <is>
          <t>125mm</t>
        </is>
      </c>
      <c r="F178" s="13" t="inlineStr"/>
      <c r="G178" s="13" t="inlineStr"/>
      <c r="H178" s="13" t="inlineStr">
        <is>
          <t>BS 5155 / API 609 / EN 593 / IS 13095</t>
        </is>
      </c>
      <c r="I178" s="13" t="inlineStr"/>
      <c r="J178" s="13" t="inlineStr">
        <is>
          <t>Nos</t>
        </is>
      </c>
      <c r="K178" s="15" t="n">
        <v>6155</v>
      </c>
      <c r="L178" s="3" t="inlineStr">
        <is>
          <t>Active</t>
        </is>
      </c>
      <c r="M178" s="13" t="inlineStr"/>
      <c r="N178" s="13" t="inlineStr"/>
    </row>
    <row r="179" ht="15" customHeight="1">
      <c r="A179" s="34" t="inlineStr">
        <is>
          <t>Butterfly Valves</t>
        </is>
      </c>
      <c r="B179" s="17" t="inlineStr">
        <is>
          <t>Wafer Type Butterfly Valve, Cast Iron Body, Nitrile/EPDM Rubber Moulded Seat, Lever Operated, Suitable for 150#</t>
        </is>
      </c>
      <c r="C179" s="17" t="inlineStr">
        <is>
          <t>Design: BS 5155 / API 609 / EN 593 / IS 13095 | F-F: ASME B16.5 | Test: API 598</t>
        </is>
      </c>
      <c r="D179" s="17" t="inlineStr">
        <is>
          <t>Cast Iron Body + S.S.304 (CF8) Disc</t>
        </is>
      </c>
      <c r="E179" s="18" t="inlineStr">
        <is>
          <t>150mm</t>
        </is>
      </c>
      <c r="F179" s="17" t="inlineStr"/>
      <c r="G179" s="17" t="inlineStr"/>
      <c r="H179" s="17" t="inlineStr">
        <is>
          <t>BS 5155 / API 609 / EN 593 / IS 13095</t>
        </is>
      </c>
      <c r="I179" s="17" t="inlineStr"/>
      <c r="J179" s="17" t="inlineStr">
        <is>
          <t>Nos</t>
        </is>
      </c>
      <c r="K179" s="15" t="n">
        <v>7555</v>
      </c>
      <c r="L179" s="3" t="inlineStr">
        <is>
          <t>Active</t>
        </is>
      </c>
      <c r="M179" s="17" t="inlineStr"/>
      <c r="N179" s="17" t="inlineStr"/>
    </row>
    <row r="180" ht="15" customHeight="1">
      <c r="A180" s="35" t="inlineStr">
        <is>
          <t>Butterfly Valves</t>
        </is>
      </c>
      <c r="B180" s="13" t="inlineStr">
        <is>
          <t>Wafer Type Butterfly Valve, Cast Iron Body, Nitrile/EPDM Rubber Moulded Seat, Lever Operated, Suitable for 150#</t>
        </is>
      </c>
      <c r="C180" s="13" t="inlineStr">
        <is>
          <t>Design: BS 5155 / API 609 / EN 593 / IS 13095 | F-F: ASME B16.5 | Test: API 598</t>
        </is>
      </c>
      <c r="D180" s="13" t="inlineStr">
        <is>
          <t>Cast Iron Body + S.S.304 (CF8) Disc</t>
        </is>
      </c>
      <c r="E180" s="14" t="inlineStr">
        <is>
          <t>200mm</t>
        </is>
      </c>
      <c r="F180" s="13" t="inlineStr"/>
      <c r="G180" s="13" t="inlineStr"/>
      <c r="H180" s="13" t="inlineStr">
        <is>
          <t>BS 5155 / API 609 / EN 593 / IS 13095</t>
        </is>
      </c>
      <c r="I180" s="13" t="inlineStr"/>
      <c r="J180" s="13" t="inlineStr">
        <is>
          <t>Nos</t>
        </is>
      </c>
      <c r="K180" s="15" t="n">
        <v>15155</v>
      </c>
      <c r="L180" s="3" t="inlineStr">
        <is>
          <t>Active</t>
        </is>
      </c>
      <c r="M180" s="13" t="inlineStr"/>
      <c r="N180" s="13" t="inlineStr"/>
    </row>
    <row r="181" ht="15" customHeight="1">
      <c r="A181" s="34" t="inlineStr">
        <is>
          <t>Butterfly Valves</t>
        </is>
      </c>
      <c r="B181" s="17" t="inlineStr">
        <is>
          <t>Wafer Type Butterfly Valve, Cast Iron Body, Nitrile/EPDM Rubber Moulded Seat, Lever Operated, Suitable for 150#</t>
        </is>
      </c>
      <c r="C181" s="17" t="inlineStr">
        <is>
          <t>Design: BS 5155 / API 609 / EN 593 / IS 13095 | F-F: ASME B16.5 | Test: API 598</t>
        </is>
      </c>
      <c r="D181" s="17" t="inlineStr">
        <is>
          <t>Cast Iron Body + S.S.304 (CF8) Disc</t>
        </is>
      </c>
      <c r="E181" s="18" t="inlineStr">
        <is>
          <t>250mm</t>
        </is>
      </c>
      <c r="F181" s="17" t="inlineStr"/>
      <c r="G181" s="17" t="inlineStr"/>
      <c r="H181" s="17" t="inlineStr">
        <is>
          <t>BS 5155 / API 609 / EN 593 / IS 13095</t>
        </is>
      </c>
      <c r="I181" s="17" t="inlineStr"/>
      <c r="J181" s="17" t="inlineStr">
        <is>
          <t>Nos</t>
        </is>
      </c>
      <c r="K181" s="15" t="n">
        <v>19655</v>
      </c>
      <c r="L181" s="3" t="inlineStr">
        <is>
          <t>Active</t>
        </is>
      </c>
      <c r="M181" s="17" t="inlineStr"/>
      <c r="N181" s="17" t="inlineStr"/>
    </row>
    <row r="182" ht="15" customHeight="1">
      <c r="A182" s="35" t="inlineStr">
        <is>
          <t>Butterfly Valves</t>
        </is>
      </c>
      <c r="B182" s="13" t="inlineStr">
        <is>
          <t>Wafer Type Butterfly Valve, Cast Iron Body, Nitrile/EPDM Rubber Moulded Seat, Lever Operated, Suitable for 150#</t>
        </is>
      </c>
      <c r="C182" s="13" t="inlineStr">
        <is>
          <t>Design: BS 5155 / API 609 / EN 593 / IS 13095 | F-F: ASME B16.5 | Test: API 598</t>
        </is>
      </c>
      <c r="D182" s="13" t="inlineStr">
        <is>
          <t>Cast Iron Body + S.S.304 (CF8) Disc</t>
        </is>
      </c>
      <c r="E182" s="14" t="inlineStr">
        <is>
          <t>300mm</t>
        </is>
      </c>
      <c r="F182" s="13" t="inlineStr"/>
      <c r="G182" s="13" t="inlineStr"/>
      <c r="H182" s="13" t="inlineStr">
        <is>
          <t>BS 5155 / API 609 / EN 593 / IS 13095</t>
        </is>
      </c>
      <c r="I182" s="13" t="inlineStr"/>
      <c r="J182" s="13" t="inlineStr">
        <is>
          <t>Nos</t>
        </is>
      </c>
      <c r="K182" s="15" t="n">
        <v>29655</v>
      </c>
      <c r="L182" s="3" t="inlineStr">
        <is>
          <t>Active</t>
        </is>
      </c>
      <c r="M182" s="13" t="inlineStr"/>
      <c r="N182" s="13" t="inlineStr"/>
    </row>
    <row r="183" ht="15" customHeight="1">
      <c r="A183" s="34" t="inlineStr">
        <is>
          <t>Butterfly Valves</t>
        </is>
      </c>
      <c r="B183" s="17" t="inlineStr">
        <is>
          <t>Rotary Actuated (Double Acting) Cast Iron Butterfly Valve, Nitrile/EPDM Rubber Moulded Seat</t>
        </is>
      </c>
      <c r="C183" s="17" t="inlineStr">
        <is>
          <t>Design: BS 5155 / API 609 / EN 593 / IS 13095 | F-F: ASME B16.5 | Test: API 598</t>
        </is>
      </c>
      <c r="D183" s="17" t="inlineStr">
        <is>
          <t>Cast Iron Body + S.S.304 (CF8) Disc</t>
        </is>
      </c>
      <c r="E183" s="18" t="inlineStr">
        <is>
          <t>40mm</t>
        </is>
      </c>
      <c r="F183" s="17" t="inlineStr"/>
      <c r="G183" s="17" t="inlineStr"/>
      <c r="H183" s="17" t="inlineStr">
        <is>
          <t>BS 5155 / API 609 / EN 593 / IS 13095</t>
        </is>
      </c>
      <c r="I183" s="17" t="inlineStr"/>
      <c r="J183" s="17" t="inlineStr">
        <is>
          <t>Nos</t>
        </is>
      </c>
      <c r="K183" s="15" t="n">
        <v>7355</v>
      </c>
      <c r="L183" s="3" t="inlineStr">
        <is>
          <t>Active</t>
        </is>
      </c>
      <c r="M183" s="17" t="inlineStr"/>
      <c r="N183" s="17" t="inlineStr"/>
    </row>
    <row r="184" ht="15" customHeight="1">
      <c r="A184" s="35" t="inlineStr">
        <is>
          <t>Butterfly Valves</t>
        </is>
      </c>
      <c r="B184" s="13" t="inlineStr">
        <is>
          <t>Rotary Actuated (Double Acting) Cast Iron Butterfly Valve, Nitrile/EPDM Rubber Moulded Seat</t>
        </is>
      </c>
      <c r="C184" s="13" t="inlineStr">
        <is>
          <t>Design: BS 5155 / API 609 / EN 593 / IS 13095 | F-F: ASME B16.5 | Test: API 598</t>
        </is>
      </c>
      <c r="D184" s="13" t="inlineStr">
        <is>
          <t>Cast Iron Body + S.S.304 (CF8) Disc</t>
        </is>
      </c>
      <c r="E184" s="14" t="inlineStr">
        <is>
          <t>50mm</t>
        </is>
      </c>
      <c r="F184" s="13" t="inlineStr"/>
      <c r="G184" s="13" t="inlineStr"/>
      <c r="H184" s="13" t="inlineStr">
        <is>
          <t>BS 5155 / API 609 / EN 593 / IS 13095</t>
        </is>
      </c>
      <c r="I184" s="13" t="inlineStr"/>
      <c r="J184" s="13" t="inlineStr">
        <is>
          <t>Nos</t>
        </is>
      </c>
      <c r="K184" s="15" t="n">
        <v>8195</v>
      </c>
      <c r="L184" s="3" t="inlineStr">
        <is>
          <t>Active</t>
        </is>
      </c>
      <c r="M184" s="13" t="inlineStr"/>
      <c r="N184" s="13" t="inlineStr"/>
    </row>
    <row r="185" ht="15" customHeight="1">
      <c r="A185" s="34" t="inlineStr">
        <is>
          <t>Butterfly Valves</t>
        </is>
      </c>
      <c r="B185" s="17" t="inlineStr">
        <is>
          <t>Rotary Actuated (Double Acting) Cast Iron Butterfly Valve, Nitrile/EPDM Rubber Moulded Seat</t>
        </is>
      </c>
      <c r="C185" s="17" t="inlineStr">
        <is>
          <t>Design: BS 5155 / API 609 / EN 593 / IS 13095 | F-F: ASME B16.5 | Test: API 598</t>
        </is>
      </c>
      <c r="D185" s="17" t="inlineStr">
        <is>
          <t>Cast Iron Body + S.S.304 (CF8) Disc</t>
        </is>
      </c>
      <c r="E185" s="18" t="inlineStr">
        <is>
          <t>65mm</t>
        </is>
      </c>
      <c r="F185" s="17" t="inlineStr"/>
      <c r="G185" s="17" t="inlineStr"/>
      <c r="H185" s="17" t="inlineStr">
        <is>
          <t>BS 5155 / API 609 / EN 593 / IS 13095</t>
        </is>
      </c>
      <c r="I185" s="17" t="inlineStr"/>
      <c r="J185" s="17" t="inlineStr">
        <is>
          <t>Nos</t>
        </is>
      </c>
      <c r="K185" s="15" t="n">
        <v>10555</v>
      </c>
      <c r="L185" s="3" t="inlineStr">
        <is>
          <t>Active</t>
        </is>
      </c>
      <c r="M185" s="17" t="inlineStr"/>
      <c r="N185" s="17" t="inlineStr"/>
    </row>
    <row r="186" ht="15" customHeight="1">
      <c r="A186" s="35" t="inlineStr">
        <is>
          <t>Butterfly Valves</t>
        </is>
      </c>
      <c r="B186" s="13" t="inlineStr">
        <is>
          <t>Rotary Actuated (Double Acting) Cast Iron Butterfly Valve, Nitrile/EPDM Rubber Moulded Seat</t>
        </is>
      </c>
      <c r="C186" s="13" t="inlineStr">
        <is>
          <t>Design: BS 5155 / API 609 / EN 593 / IS 13095 | F-F: ASME B16.5 | Test: API 598</t>
        </is>
      </c>
      <c r="D186" s="13" t="inlineStr">
        <is>
          <t>Cast Iron Body + S.S.304 (CF8) Disc</t>
        </is>
      </c>
      <c r="E186" s="14" t="inlineStr">
        <is>
          <t>80mm</t>
        </is>
      </c>
      <c r="F186" s="13" t="inlineStr"/>
      <c r="G186" s="13" t="inlineStr"/>
      <c r="H186" s="13" t="inlineStr">
        <is>
          <t>BS 5155 / API 609 / EN 593 / IS 13095</t>
        </is>
      </c>
      <c r="I186" s="13" t="inlineStr"/>
      <c r="J186" s="13" t="inlineStr">
        <is>
          <t>Nos</t>
        </is>
      </c>
      <c r="K186" s="15" t="n">
        <v>11655</v>
      </c>
      <c r="L186" s="3" t="inlineStr">
        <is>
          <t>Active</t>
        </is>
      </c>
      <c r="M186" s="13" t="inlineStr"/>
      <c r="N186" s="13" t="inlineStr"/>
    </row>
    <row r="187" ht="15" customHeight="1">
      <c r="A187" s="34" t="inlineStr">
        <is>
          <t>Butterfly Valves</t>
        </is>
      </c>
      <c r="B187" s="17" t="inlineStr">
        <is>
          <t>Rotary Actuated (Double Acting) Cast Iron Butterfly Valve, Nitrile/EPDM Rubber Moulded Seat</t>
        </is>
      </c>
      <c r="C187" s="17" t="inlineStr">
        <is>
          <t>Design: BS 5155 / API 609 / EN 593 / IS 13095 | F-F: ASME B16.5 | Test: API 598</t>
        </is>
      </c>
      <c r="D187" s="17" t="inlineStr">
        <is>
          <t>Cast Iron Body + S.S.304 (CF8) Disc</t>
        </is>
      </c>
      <c r="E187" s="18" t="inlineStr">
        <is>
          <t>100mm</t>
        </is>
      </c>
      <c r="F187" s="17" t="inlineStr"/>
      <c r="G187" s="17" t="inlineStr"/>
      <c r="H187" s="17" t="inlineStr">
        <is>
          <t>BS 5155 / API 609 / EN 593 / IS 13095</t>
        </is>
      </c>
      <c r="I187" s="17" t="inlineStr"/>
      <c r="J187" s="17" t="inlineStr">
        <is>
          <t>Nos</t>
        </is>
      </c>
      <c r="K187" s="15" t="n">
        <v>14655</v>
      </c>
      <c r="L187" s="3" t="inlineStr">
        <is>
          <t>Active</t>
        </is>
      </c>
      <c r="M187" s="17" t="inlineStr"/>
      <c r="N187" s="17" t="inlineStr"/>
    </row>
    <row r="188" ht="15" customHeight="1">
      <c r="A188" s="35" t="inlineStr">
        <is>
          <t>Butterfly Valves</t>
        </is>
      </c>
      <c r="B188" s="13" t="inlineStr">
        <is>
          <t>Rotary Actuated (Double Acting) Cast Iron Butterfly Valve, Nitrile/EPDM Rubber Moulded Seat</t>
        </is>
      </c>
      <c r="C188" s="13" t="inlineStr">
        <is>
          <t>Design: BS 5155 / API 609 / EN 593 / IS 13095 | F-F: ASME B16.5 | Test: API 598</t>
        </is>
      </c>
      <c r="D188" s="13" t="inlineStr">
        <is>
          <t>Cast Iron Body + S.S.304 (CF8) Disc</t>
        </is>
      </c>
      <c r="E188" s="14" t="inlineStr">
        <is>
          <t>125mm</t>
        </is>
      </c>
      <c r="F188" s="13" t="inlineStr"/>
      <c r="G188" s="13" t="inlineStr"/>
      <c r="H188" s="13" t="inlineStr">
        <is>
          <t>BS 5155 / API 609 / EN 593 / IS 13095</t>
        </is>
      </c>
      <c r="I188" s="13" t="inlineStr"/>
      <c r="J188" s="13" t="inlineStr">
        <is>
          <t>Nos</t>
        </is>
      </c>
      <c r="K188" s="15" t="n">
        <v>18355</v>
      </c>
      <c r="L188" s="3" t="inlineStr">
        <is>
          <t>Active</t>
        </is>
      </c>
      <c r="M188" s="13" t="inlineStr"/>
      <c r="N188" s="13" t="inlineStr"/>
    </row>
    <row r="189" ht="15" customHeight="1">
      <c r="A189" s="34" t="inlineStr">
        <is>
          <t>Butterfly Valves</t>
        </is>
      </c>
      <c r="B189" s="17" t="inlineStr">
        <is>
          <t>Rotary Actuated (Double Acting) Cast Iron Butterfly Valve, Nitrile/EPDM Rubber Moulded Seat</t>
        </is>
      </c>
      <c r="C189" s="17" t="inlineStr">
        <is>
          <t>Design: BS 5155 / API 609 / EN 593 / IS 13095 | F-F: ASME B16.5 | Test: API 598</t>
        </is>
      </c>
      <c r="D189" s="17" t="inlineStr">
        <is>
          <t>Cast Iron Body + S.S.304 (CF8) Disc</t>
        </is>
      </c>
      <c r="E189" s="18" t="inlineStr">
        <is>
          <t>150mm</t>
        </is>
      </c>
      <c r="F189" s="17" t="inlineStr"/>
      <c r="G189" s="17" t="inlineStr"/>
      <c r="H189" s="17" t="inlineStr">
        <is>
          <t>BS 5155 / API 609 / EN 593 / IS 13095</t>
        </is>
      </c>
      <c r="I189" s="17" t="inlineStr"/>
      <c r="J189" s="17" t="inlineStr">
        <is>
          <t>Nos</t>
        </is>
      </c>
      <c r="K189" s="15" t="n">
        <v>23955</v>
      </c>
      <c r="L189" s="3" t="inlineStr">
        <is>
          <t>Active</t>
        </is>
      </c>
      <c r="M189" s="17" t="inlineStr"/>
      <c r="N189" s="17" t="inlineStr"/>
    </row>
    <row r="190" ht="15" customHeight="1">
      <c r="A190" s="35" t="inlineStr">
        <is>
          <t>Butterfly Valves</t>
        </is>
      </c>
      <c r="B190" s="13" t="inlineStr">
        <is>
          <t>Rotary Actuated (Double Acting) Cast Iron Butterfly Valve, Nitrile/EPDM Rubber Moulded Seat</t>
        </is>
      </c>
      <c r="C190" s="13" t="inlineStr">
        <is>
          <t>Design: BS 5155 / API 609 / EN 593 / IS 13095 | F-F: ASME B16.5 | Test: API 598</t>
        </is>
      </c>
      <c r="D190" s="13" t="inlineStr">
        <is>
          <t>Cast Iron Body + S.S.304 (CF8) Disc</t>
        </is>
      </c>
      <c r="E190" s="14" t="inlineStr">
        <is>
          <t>200mm</t>
        </is>
      </c>
      <c r="F190" s="13" t="inlineStr"/>
      <c r="G190" s="13" t="inlineStr"/>
      <c r="H190" s="13" t="inlineStr">
        <is>
          <t>BS 5155 / API 609 / EN 593 / IS 13095</t>
        </is>
      </c>
      <c r="I190" s="13" t="inlineStr"/>
      <c r="J190" s="13" t="inlineStr">
        <is>
          <t>Nos</t>
        </is>
      </c>
      <c r="K190" s="15" t="n">
        <v>37155</v>
      </c>
      <c r="L190" s="3" t="inlineStr">
        <is>
          <t>Active</t>
        </is>
      </c>
      <c r="M190" s="13" t="inlineStr"/>
      <c r="N190" s="13" t="inlineStr"/>
    </row>
    <row r="191" ht="15" customHeight="1">
      <c r="A191" s="34" t="inlineStr">
        <is>
          <t>Butterfly Valves</t>
        </is>
      </c>
      <c r="B191" s="17" t="inlineStr">
        <is>
          <t>Spherical Disc (Double Offset) Investment Casting Wafer Type Teflon Seated Butterfly Valve, Lever Operated</t>
        </is>
      </c>
      <c r="C191" s="17" t="inlineStr">
        <is>
          <t>F-F: ASME B16.5 | Test: API 598</t>
        </is>
      </c>
      <c r="D191" s="17" t="inlineStr">
        <is>
          <t>S.S.304(CF8) + S.S.304(CF8)</t>
        </is>
      </c>
      <c r="E191" s="18" t="inlineStr">
        <is>
          <t>40mm</t>
        </is>
      </c>
      <c r="F191" s="17" t="inlineStr"/>
      <c r="G191" s="17" t="inlineStr"/>
      <c r="H191" s="17" t="inlineStr"/>
      <c r="I191" s="17" t="inlineStr"/>
      <c r="J191" s="17" t="inlineStr">
        <is>
          <t>Nos</t>
        </is>
      </c>
      <c r="K191" s="15" t="n">
        <v>5755</v>
      </c>
      <c r="L191" s="3" t="inlineStr">
        <is>
          <t>Active</t>
        </is>
      </c>
      <c r="M191" s="17" t="inlineStr"/>
      <c r="N191" s="17" t="inlineStr"/>
    </row>
    <row r="192" ht="15" customHeight="1">
      <c r="A192" s="35" t="inlineStr">
        <is>
          <t>Butterfly Valves</t>
        </is>
      </c>
      <c r="B192" s="13" t="inlineStr">
        <is>
          <t>Spherical Disc (Double Offset) Investment Casting Wafer Type Teflon Seated Butterfly Valve, Lever Operated</t>
        </is>
      </c>
      <c r="C192" s="13" t="inlineStr">
        <is>
          <t>F-F: ASME B16.5 | Test: API 598</t>
        </is>
      </c>
      <c r="D192" s="13" t="inlineStr">
        <is>
          <t>S.S.304(CF8) + S.S.304(CF8)</t>
        </is>
      </c>
      <c r="E192" s="14" t="inlineStr">
        <is>
          <t>50mm</t>
        </is>
      </c>
      <c r="F192" s="13" t="inlineStr"/>
      <c r="G192" s="13" t="inlineStr"/>
      <c r="H192" s="13" t="inlineStr"/>
      <c r="I192" s="13" t="inlineStr"/>
      <c r="J192" s="13" t="inlineStr">
        <is>
          <t>Nos</t>
        </is>
      </c>
      <c r="K192" s="15" t="n">
        <v>6555</v>
      </c>
      <c r="L192" s="3" t="inlineStr">
        <is>
          <t>Active</t>
        </is>
      </c>
      <c r="M192" s="13" t="inlineStr"/>
      <c r="N192" s="13" t="inlineStr"/>
    </row>
    <row r="193" ht="15" customHeight="1">
      <c r="A193" s="34" t="inlineStr">
        <is>
          <t>Butterfly Valves</t>
        </is>
      </c>
      <c r="B193" s="17" t="inlineStr">
        <is>
          <t>Spherical Disc (Double Offset) Investment Casting Wafer Type Teflon Seated Butterfly Valve, Lever Operated</t>
        </is>
      </c>
      <c r="C193" s="17" t="inlineStr">
        <is>
          <t>F-F: ASME B16.5 | Test: API 598</t>
        </is>
      </c>
      <c r="D193" s="17" t="inlineStr">
        <is>
          <t>S.S.304(CF8) + S.S.304(CF8)</t>
        </is>
      </c>
      <c r="E193" s="18" t="inlineStr">
        <is>
          <t>65mm</t>
        </is>
      </c>
      <c r="F193" s="17" t="inlineStr"/>
      <c r="G193" s="17" t="inlineStr"/>
      <c r="H193" s="17" t="inlineStr"/>
      <c r="I193" s="17" t="inlineStr"/>
      <c r="J193" s="17" t="inlineStr">
        <is>
          <t>Nos</t>
        </is>
      </c>
      <c r="K193" s="15" t="n">
        <v>8555</v>
      </c>
      <c r="L193" s="3" t="inlineStr">
        <is>
          <t>Active</t>
        </is>
      </c>
      <c r="M193" s="17" t="inlineStr"/>
      <c r="N193" s="17" t="inlineStr"/>
    </row>
    <row r="194" ht="15" customHeight="1">
      <c r="A194" s="35" t="inlineStr">
        <is>
          <t>Butterfly Valves</t>
        </is>
      </c>
      <c r="B194" s="13" t="inlineStr">
        <is>
          <t>Spherical Disc (Double Offset) Investment Casting Wafer Type Teflon Seated Butterfly Valve, Lever Operated</t>
        </is>
      </c>
      <c r="C194" s="13" t="inlineStr">
        <is>
          <t>F-F: ASME B16.5 | Test: API 598</t>
        </is>
      </c>
      <c r="D194" s="13" t="inlineStr">
        <is>
          <t>S.S.304(CF8) + S.S.304(CF8)</t>
        </is>
      </c>
      <c r="E194" s="14" t="inlineStr">
        <is>
          <t>80mm</t>
        </is>
      </c>
      <c r="F194" s="13" t="inlineStr"/>
      <c r="G194" s="13" t="inlineStr"/>
      <c r="H194" s="13" t="inlineStr"/>
      <c r="I194" s="13" t="inlineStr"/>
      <c r="J194" s="13" t="inlineStr">
        <is>
          <t>Nos</t>
        </is>
      </c>
      <c r="K194" s="15" t="n">
        <v>10855</v>
      </c>
      <c r="L194" s="3" t="inlineStr">
        <is>
          <t>Active</t>
        </is>
      </c>
      <c r="M194" s="13" t="inlineStr"/>
      <c r="N194" s="13" t="inlineStr"/>
    </row>
    <row r="195" ht="15" customHeight="1">
      <c r="A195" s="34" t="inlineStr">
        <is>
          <t>Butterfly Valves</t>
        </is>
      </c>
      <c r="B195" s="17" t="inlineStr">
        <is>
          <t>Spherical Disc (Double Offset) Investment Casting Wafer Type Teflon Seated Butterfly Valve, Lever Operated</t>
        </is>
      </c>
      <c r="C195" s="17" t="inlineStr">
        <is>
          <t>F-F: ASME B16.5 | Test: API 598</t>
        </is>
      </c>
      <c r="D195" s="17" t="inlineStr">
        <is>
          <t>S.S.304(CF8) + S.S.304(CF8)</t>
        </is>
      </c>
      <c r="E195" s="18" t="inlineStr">
        <is>
          <t>100mm</t>
        </is>
      </c>
      <c r="F195" s="17" t="inlineStr"/>
      <c r="G195" s="17" t="inlineStr"/>
      <c r="H195" s="17" t="inlineStr"/>
      <c r="I195" s="17" t="inlineStr"/>
      <c r="J195" s="17" t="inlineStr">
        <is>
          <t>Nos</t>
        </is>
      </c>
      <c r="K195" s="15" t="n">
        <v>13955</v>
      </c>
      <c r="L195" s="3" t="inlineStr">
        <is>
          <t>Active</t>
        </is>
      </c>
      <c r="M195" s="17" t="inlineStr"/>
      <c r="N195" s="17" t="inlineStr"/>
    </row>
    <row r="196" ht="15" customHeight="1">
      <c r="A196" s="35" t="inlineStr">
        <is>
          <t>Butterfly Valves</t>
        </is>
      </c>
      <c r="B196" s="13" t="inlineStr">
        <is>
          <t>Spherical Disc (Double Offset) Investment Casting Wafer Type Teflon Seated Butterfly Valve, Lever Operated</t>
        </is>
      </c>
      <c r="C196" s="13" t="inlineStr">
        <is>
          <t>F-F: ASME B16.5 | Test: API 598</t>
        </is>
      </c>
      <c r="D196" s="13" t="inlineStr">
        <is>
          <t>S.S.304(CF8) + S.S.304(CF8)</t>
        </is>
      </c>
      <c r="E196" s="14" t="inlineStr">
        <is>
          <t>125mm</t>
        </is>
      </c>
      <c r="F196" s="13" t="inlineStr"/>
      <c r="G196" s="13" t="inlineStr"/>
      <c r="H196" s="13" t="inlineStr"/>
      <c r="I196" s="13" t="inlineStr"/>
      <c r="J196" s="13" t="inlineStr">
        <is>
          <t>Nos</t>
        </is>
      </c>
      <c r="K196" s="15" t="n">
        <v>18155</v>
      </c>
      <c r="L196" s="3" t="inlineStr">
        <is>
          <t>Active</t>
        </is>
      </c>
      <c r="M196" s="13" t="inlineStr"/>
      <c r="N196" s="13" t="inlineStr"/>
    </row>
    <row r="197" ht="15" customHeight="1">
      <c r="A197" s="34" t="inlineStr">
        <is>
          <t>Butterfly Valves</t>
        </is>
      </c>
      <c r="B197" s="17" t="inlineStr">
        <is>
          <t>Spherical Disc (Double Offset) Investment Casting Wafer Type Teflon Seated Butterfly Valve, Lever Operated</t>
        </is>
      </c>
      <c r="C197" s="17" t="inlineStr">
        <is>
          <t>F-F: ASME B16.5 | Test: API 598</t>
        </is>
      </c>
      <c r="D197" s="17" t="inlineStr">
        <is>
          <t>S.S.304(CF8) + S.S.304(CF8)</t>
        </is>
      </c>
      <c r="E197" s="18" t="inlineStr">
        <is>
          <t>150mm</t>
        </is>
      </c>
      <c r="F197" s="17" t="inlineStr"/>
      <c r="G197" s="17" t="inlineStr"/>
      <c r="H197" s="17" t="inlineStr"/>
      <c r="I197" s="17" t="inlineStr"/>
      <c r="J197" s="17" t="inlineStr">
        <is>
          <t>Nos</t>
        </is>
      </c>
      <c r="K197" s="15" t="n">
        <v>24155</v>
      </c>
      <c r="L197" s="3" t="inlineStr">
        <is>
          <t>Active</t>
        </is>
      </c>
      <c r="M197" s="17" t="inlineStr"/>
      <c r="N197" s="17" t="inlineStr"/>
    </row>
    <row r="198" ht="15" customHeight="1">
      <c r="A198" s="35" t="inlineStr">
        <is>
          <t>Butterfly Valves</t>
        </is>
      </c>
      <c r="B198" s="13" t="inlineStr">
        <is>
          <t>Spherical Disc (Double Offset) Investment Casting Wafer Type Teflon Seated Butterfly Valve, Lever Operated</t>
        </is>
      </c>
      <c r="C198" s="13" t="inlineStr">
        <is>
          <t>F-F: ASME B16.5 | Test: API 598</t>
        </is>
      </c>
      <c r="D198" s="13" t="inlineStr">
        <is>
          <t>S.S.304(CF8) + S.S.304(CF8)</t>
        </is>
      </c>
      <c r="E198" s="14" t="inlineStr">
        <is>
          <t>200mm</t>
        </is>
      </c>
      <c r="F198" s="13" t="inlineStr"/>
      <c r="G198" s="13" t="inlineStr"/>
      <c r="H198" s="13" t="inlineStr"/>
      <c r="I198" s="13" t="inlineStr"/>
      <c r="J198" s="13" t="inlineStr">
        <is>
          <t>Nos</t>
        </is>
      </c>
      <c r="K198" s="15" t="n">
        <v>33955</v>
      </c>
      <c r="L198" s="3" t="inlineStr">
        <is>
          <t>Active</t>
        </is>
      </c>
      <c r="M198" s="13" t="inlineStr"/>
      <c r="N198" s="13" t="inlineStr"/>
    </row>
    <row r="199" ht="15" customHeight="1">
      <c r="A199" s="34" t="inlineStr">
        <is>
          <t>Butterfly Valves</t>
        </is>
      </c>
      <c r="B199" s="17" t="inlineStr">
        <is>
          <t>Spherical Disc (Double Offset) Investment Casting Wafer Type Teflon Seated Butterfly Valve, Lever Operated</t>
        </is>
      </c>
      <c r="C199" s="17" t="inlineStr">
        <is>
          <t>F-F: ASME B16.5 | Test: API 598</t>
        </is>
      </c>
      <c r="D199" s="17" t="inlineStr">
        <is>
          <t>S.S.316(CF8M) + S.S.316(CF8M)</t>
        </is>
      </c>
      <c r="E199" s="18" t="inlineStr">
        <is>
          <t>40mm</t>
        </is>
      </c>
      <c r="F199" s="17" t="inlineStr"/>
      <c r="G199" s="17" t="inlineStr"/>
      <c r="H199" s="17" t="inlineStr"/>
      <c r="I199" s="17" t="inlineStr"/>
      <c r="J199" s="17" t="inlineStr">
        <is>
          <t>Nos</t>
        </is>
      </c>
      <c r="K199" s="15" t="n">
        <v>6555</v>
      </c>
      <c r="L199" s="3" t="inlineStr">
        <is>
          <t>Active</t>
        </is>
      </c>
      <c r="M199" s="17" t="inlineStr"/>
      <c r="N199" s="17" t="inlineStr"/>
    </row>
    <row r="200" ht="15" customHeight="1">
      <c r="A200" s="35" t="inlineStr">
        <is>
          <t>Butterfly Valves</t>
        </is>
      </c>
      <c r="B200" s="13" t="inlineStr">
        <is>
          <t>Spherical Disc (Double Offset) Investment Casting Wafer Type Teflon Seated Butterfly Valve, Lever Operated</t>
        </is>
      </c>
      <c r="C200" s="13" t="inlineStr">
        <is>
          <t>F-F: ASME B16.5 | Test: API 598</t>
        </is>
      </c>
      <c r="D200" s="13" t="inlineStr">
        <is>
          <t>S.S.316(CF8M) + S.S.316(CF8M)</t>
        </is>
      </c>
      <c r="E200" s="14" t="inlineStr">
        <is>
          <t>50mm</t>
        </is>
      </c>
      <c r="F200" s="13" t="inlineStr"/>
      <c r="G200" s="13" t="inlineStr"/>
      <c r="H200" s="13" t="inlineStr"/>
      <c r="I200" s="13" t="inlineStr"/>
      <c r="J200" s="13" t="inlineStr">
        <is>
          <t>Nos</t>
        </is>
      </c>
      <c r="K200" s="15" t="n">
        <v>7355</v>
      </c>
      <c r="L200" s="3" t="inlineStr">
        <is>
          <t>Active</t>
        </is>
      </c>
      <c r="M200" s="13" t="inlineStr"/>
      <c r="N200" s="13" t="inlineStr"/>
    </row>
    <row r="201" ht="15" customHeight="1">
      <c r="A201" s="34" t="inlineStr">
        <is>
          <t>Butterfly Valves</t>
        </is>
      </c>
      <c r="B201" s="17" t="inlineStr">
        <is>
          <t>Spherical Disc (Double Offset) Investment Casting Wafer Type Teflon Seated Butterfly Valve, Lever Operated</t>
        </is>
      </c>
      <c r="C201" s="17" t="inlineStr">
        <is>
          <t>F-F: ASME B16.5 | Test: API 598</t>
        </is>
      </c>
      <c r="D201" s="17" t="inlineStr">
        <is>
          <t>S.S.316(CF8M) + S.S.316(CF8M)</t>
        </is>
      </c>
      <c r="E201" s="18" t="inlineStr">
        <is>
          <t>65mm</t>
        </is>
      </c>
      <c r="F201" s="17" t="inlineStr"/>
      <c r="G201" s="17" t="inlineStr"/>
      <c r="H201" s="17" t="inlineStr"/>
      <c r="I201" s="17" t="inlineStr"/>
      <c r="J201" s="17" t="inlineStr">
        <is>
          <t>Nos</t>
        </is>
      </c>
      <c r="K201" s="15" t="n">
        <v>9955</v>
      </c>
      <c r="L201" s="3" t="inlineStr">
        <is>
          <t>Active</t>
        </is>
      </c>
      <c r="M201" s="17" t="inlineStr"/>
      <c r="N201" s="17" t="inlineStr"/>
    </row>
    <row r="202" ht="15" customHeight="1">
      <c r="A202" s="35" t="inlineStr">
        <is>
          <t>Butterfly Valves</t>
        </is>
      </c>
      <c r="B202" s="13" t="inlineStr">
        <is>
          <t>Spherical Disc (Double Offset) Investment Casting Wafer Type Teflon Seated Butterfly Valve, Lever Operated</t>
        </is>
      </c>
      <c r="C202" s="13" t="inlineStr">
        <is>
          <t>F-F: ASME B16.5 | Test: API 598</t>
        </is>
      </c>
      <c r="D202" s="13" t="inlineStr">
        <is>
          <t>S.S.316(CF8M) + S.S.316(CF8M)</t>
        </is>
      </c>
      <c r="E202" s="14" t="inlineStr">
        <is>
          <t>80mm</t>
        </is>
      </c>
      <c r="F202" s="13" t="inlineStr"/>
      <c r="G202" s="13" t="inlineStr"/>
      <c r="H202" s="13" t="inlineStr"/>
      <c r="I202" s="13" t="inlineStr"/>
      <c r="J202" s="13" t="inlineStr">
        <is>
          <t>Nos</t>
        </is>
      </c>
      <c r="K202" s="15" t="n">
        <v>13155</v>
      </c>
      <c r="L202" s="3" t="inlineStr">
        <is>
          <t>Active</t>
        </is>
      </c>
      <c r="M202" s="13" t="inlineStr"/>
      <c r="N202" s="13" t="inlineStr"/>
    </row>
    <row r="203" ht="15" customHeight="1">
      <c r="A203" s="34" t="inlineStr">
        <is>
          <t>Butterfly Valves</t>
        </is>
      </c>
      <c r="B203" s="17" t="inlineStr">
        <is>
          <t>Spherical Disc (Double Offset) Investment Casting Wafer Type Teflon Seated Butterfly Valve, Lever Operated</t>
        </is>
      </c>
      <c r="C203" s="17" t="inlineStr">
        <is>
          <t>F-F: ASME B16.5 | Test: API 598</t>
        </is>
      </c>
      <c r="D203" s="17" t="inlineStr">
        <is>
          <t>S.S.316(CF8M) + S.S.316(CF8M)</t>
        </is>
      </c>
      <c r="E203" s="18" t="inlineStr">
        <is>
          <t>100mm</t>
        </is>
      </c>
      <c r="F203" s="17" t="inlineStr"/>
      <c r="G203" s="17" t="inlineStr"/>
      <c r="H203" s="17" t="inlineStr"/>
      <c r="I203" s="17" t="inlineStr"/>
      <c r="J203" s="17" t="inlineStr">
        <is>
          <t>Nos</t>
        </is>
      </c>
      <c r="K203" s="15" t="n">
        <v>15655</v>
      </c>
      <c r="L203" s="3" t="inlineStr">
        <is>
          <t>Active</t>
        </is>
      </c>
      <c r="M203" s="17" t="inlineStr"/>
      <c r="N203" s="17" t="inlineStr"/>
    </row>
    <row r="204" ht="15" customHeight="1">
      <c r="A204" s="35" t="inlineStr">
        <is>
          <t>Butterfly Valves</t>
        </is>
      </c>
      <c r="B204" s="13" t="inlineStr">
        <is>
          <t>Spherical Disc (Double Offset) Investment Casting Wafer Type Teflon Seated Butterfly Valve, Lever Operated</t>
        </is>
      </c>
      <c r="C204" s="13" t="inlineStr">
        <is>
          <t>F-F: ASME B16.5 | Test: API 598</t>
        </is>
      </c>
      <c r="D204" s="13" t="inlineStr">
        <is>
          <t>S.S.316(CF8M) + S.S.316(CF8M)</t>
        </is>
      </c>
      <c r="E204" s="14" t="inlineStr">
        <is>
          <t>125mm</t>
        </is>
      </c>
      <c r="F204" s="13" t="inlineStr"/>
      <c r="G204" s="13" t="inlineStr"/>
      <c r="H204" s="13" t="inlineStr"/>
      <c r="I204" s="13" t="inlineStr"/>
      <c r="J204" s="13" t="inlineStr">
        <is>
          <t>Nos</t>
        </is>
      </c>
      <c r="K204" s="15" t="n">
        <v>21555</v>
      </c>
      <c r="L204" s="3" t="inlineStr">
        <is>
          <t>Active</t>
        </is>
      </c>
      <c r="M204" s="13" t="inlineStr"/>
      <c r="N204" s="13" t="inlineStr"/>
    </row>
    <row r="205" ht="15" customHeight="1">
      <c r="A205" s="34" t="inlineStr">
        <is>
          <t>Butterfly Valves</t>
        </is>
      </c>
      <c r="B205" s="17" t="inlineStr">
        <is>
          <t>Spherical Disc (Double Offset) Investment Casting Wafer Type Teflon Seated Butterfly Valve, Lever Operated</t>
        </is>
      </c>
      <c r="C205" s="17" t="inlineStr">
        <is>
          <t>F-F: ASME B16.5 | Test: API 598</t>
        </is>
      </c>
      <c r="D205" s="17" t="inlineStr">
        <is>
          <t>S.S.316(CF8M) + S.S.316(CF8M)</t>
        </is>
      </c>
      <c r="E205" s="18" t="inlineStr">
        <is>
          <t>150mm</t>
        </is>
      </c>
      <c r="F205" s="17" t="inlineStr"/>
      <c r="G205" s="17" t="inlineStr"/>
      <c r="H205" s="17" t="inlineStr"/>
      <c r="I205" s="17" t="inlineStr"/>
      <c r="J205" s="17" t="inlineStr">
        <is>
          <t>Nos</t>
        </is>
      </c>
      <c r="K205" s="15" t="n">
        <v>28555</v>
      </c>
      <c r="L205" s="3" t="inlineStr">
        <is>
          <t>Active</t>
        </is>
      </c>
      <c r="M205" s="17" t="inlineStr"/>
      <c r="N205" s="17" t="inlineStr"/>
    </row>
    <row r="206" ht="15" customHeight="1">
      <c r="A206" s="35" t="inlineStr">
        <is>
          <t>Butterfly Valves</t>
        </is>
      </c>
      <c r="B206" s="13" t="inlineStr">
        <is>
          <t>Spherical Disc (Double Offset) Investment Casting Wafer Type Teflon Seated Butterfly Valve, Lever Operated</t>
        </is>
      </c>
      <c r="C206" s="13" t="inlineStr">
        <is>
          <t>F-F: ASME B16.5 | Test: API 598</t>
        </is>
      </c>
      <c r="D206" s="13" t="inlineStr">
        <is>
          <t>S.S.316(CF8M) + S.S.316(CF8M)</t>
        </is>
      </c>
      <c r="E206" s="14" t="inlineStr">
        <is>
          <t>200mm</t>
        </is>
      </c>
      <c r="F206" s="13" t="inlineStr"/>
      <c r="G206" s="13" t="inlineStr"/>
      <c r="H206" s="13" t="inlineStr"/>
      <c r="I206" s="13" t="inlineStr"/>
      <c r="J206" s="13" t="inlineStr">
        <is>
          <t>Nos</t>
        </is>
      </c>
      <c r="K206" s="15" t="n">
        <v>39655</v>
      </c>
      <c r="L206" s="3" t="inlineStr">
        <is>
          <t>Active</t>
        </is>
      </c>
      <c r="M206" s="13" t="inlineStr"/>
      <c r="N206" s="13" t="inlineStr"/>
    </row>
    <row r="207" ht="15" customHeight="1">
      <c r="A207" s="34" t="inlineStr">
        <is>
          <t>Butterfly Valves</t>
        </is>
      </c>
      <c r="B207" s="17" t="inlineStr">
        <is>
          <t>Rotary Actuated (Double Acting) Spherical Disc (Double Offset) Investment Casting Wafer Type Teflon Seated Butterfly Valve</t>
        </is>
      </c>
      <c r="C207" s="17" t="inlineStr">
        <is>
          <t>F-F: ASME B16.5 | Test: API 598</t>
        </is>
      </c>
      <c r="D207" s="17" t="inlineStr">
        <is>
          <t>S.S.304(CF8) + S.S.304(CF8)</t>
        </is>
      </c>
      <c r="E207" s="18" t="inlineStr">
        <is>
          <t>40mm</t>
        </is>
      </c>
      <c r="F207" s="17" t="inlineStr"/>
      <c r="G207" s="17" t="inlineStr"/>
      <c r="H207" s="17" t="inlineStr"/>
      <c r="I207" s="17" t="inlineStr"/>
      <c r="J207" s="17" t="inlineStr">
        <is>
          <t>Nos</t>
        </is>
      </c>
      <c r="K207" s="15" t="n">
        <v>12155</v>
      </c>
      <c r="L207" s="3" t="inlineStr">
        <is>
          <t>Active</t>
        </is>
      </c>
      <c r="M207" s="17" t="inlineStr"/>
      <c r="N207" s="17" t="inlineStr"/>
    </row>
    <row r="208" ht="15" customHeight="1">
      <c r="A208" s="35" t="inlineStr">
        <is>
          <t>Butterfly Valves</t>
        </is>
      </c>
      <c r="B208" s="13" t="inlineStr">
        <is>
          <t>Rotary Actuated (Double Acting) Spherical Disc (Double Offset) Investment Casting Wafer Type Teflon Seated Butterfly Valve</t>
        </is>
      </c>
      <c r="C208" s="13" t="inlineStr">
        <is>
          <t>F-F: ASME B16.5 | Test: API 598</t>
        </is>
      </c>
      <c r="D208" s="13" t="inlineStr">
        <is>
          <t>S.S.304(CF8) + S.S.304(CF8)</t>
        </is>
      </c>
      <c r="E208" s="14" t="inlineStr">
        <is>
          <t>50mm</t>
        </is>
      </c>
      <c r="F208" s="13" t="inlineStr"/>
      <c r="G208" s="13" t="inlineStr"/>
      <c r="H208" s="13" t="inlineStr"/>
      <c r="I208" s="13" t="inlineStr"/>
      <c r="J208" s="13" t="inlineStr">
        <is>
          <t>Nos</t>
        </is>
      </c>
      <c r="K208" s="15" t="n">
        <v>13155</v>
      </c>
      <c r="L208" s="3" t="inlineStr">
        <is>
          <t>Active</t>
        </is>
      </c>
      <c r="M208" s="13" t="inlineStr"/>
      <c r="N208" s="13" t="inlineStr"/>
    </row>
    <row r="209" ht="15" customHeight="1">
      <c r="A209" s="34" t="inlineStr">
        <is>
          <t>Butterfly Valves</t>
        </is>
      </c>
      <c r="B209" s="17" t="inlineStr">
        <is>
          <t>Rotary Actuated (Double Acting) Spherical Disc (Double Offset) Investment Casting Wafer Type Teflon Seated Butterfly Valve</t>
        </is>
      </c>
      <c r="C209" s="17" t="inlineStr">
        <is>
          <t>F-F: ASME B16.5 | Test: API 598</t>
        </is>
      </c>
      <c r="D209" s="17" t="inlineStr">
        <is>
          <t>S.S.304(CF8) + S.S.304(CF8)</t>
        </is>
      </c>
      <c r="E209" s="18" t="inlineStr">
        <is>
          <t>65mm</t>
        </is>
      </c>
      <c r="F209" s="17" t="inlineStr"/>
      <c r="G209" s="17" t="inlineStr"/>
      <c r="H209" s="17" t="inlineStr"/>
      <c r="I209" s="17" t="inlineStr"/>
      <c r="J209" s="17" t="inlineStr">
        <is>
          <t>Nos</t>
        </is>
      </c>
      <c r="K209" s="15" t="n">
        <v>17155</v>
      </c>
      <c r="L209" s="3" t="inlineStr">
        <is>
          <t>Active</t>
        </is>
      </c>
      <c r="M209" s="17" t="inlineStr"/>
      <c r="N209" s="17" t="inlineStr"/>
    </row>
    <row r="210" ht="15" customHeight="1">
      <c r="A210" s="35" t="inlineStr">
        <is>
          <t>Butterfly Valves</t>
        </is>
      </c>
      <c r="B210" s="13" t="inlineStr">
        <is>
          <t>Rotary Actuated (Double Acting) Spherical Disc (Double Offset) Investment Casting Wafer Type Teflon Seated Butterfly Valve</t>
        </is>
      </c>
      <c r="C210" s="13" t="inlineStr">
        <is>
          <t>F-F: ASME B16.5 | Test: API 598</t>
        </is>
      </c>
      <c r="D210" s="13" t="inlineStr">
        <is>
          <t>S.S.304(CF8) + S.S.304(CF8)</t>
        </is>
      </c>
      <c r="E210" s="14" t="inlineStr">
        <is>
          <t>80mm</t>
        </is>
      </c>
      <c r="F210" s="13" t="inlineStr"/>
      <c r="G210" s="13" t="inlineStr"/>
      <c r="H210" s="13" t="inlineStr"/>
      <c r="I210" s="13" t="inlineStr"/>
      <c r="J210" s="13" t="inlineStr">
        <is>
          <t>Nos</t>
        </is>
      </c>
      <c r="K210" s="15" t="n">
        <v>19655</v>
      </c>
      <c r="L210" s="3" t="inlineStr">
        <is>
          <t>Active</t>
        </is>
      </c>
      <c r="M210" s="13" t="inlineStr"/>
      <c r="N210" s="13" t="inlineStr"/>
    </row>
    <row r="211" ht="15" customHeight="1">
      <c r="A211" s="34" t="inlineStr">
        <is>
          <t>Butterfly Valves</t>
        </is>
      </c>
      <c r="B211" s="17" t="inlineStr">
        <is>
          <t>Rotary Actuated (Double Acting) Spherical Disc (Double Offset) Investment Casting Wafer Type Teflon Seated Butterfly Valve</t>
        </is>
      </c>
      <c r="C211" s="17" t="inlineStr">
        <is>
          <t>F-F: ASME B16.5 | Test: API 598</t>
        </is>
      </c>
      <c r="D211" s="17" t="inlineStr">
        <is>
          <t>S.S.304(CF8) + S.S.304(CF8)</t>
        </is>
      </c>
      <c r="E211" s="18" t="inlineStr">
        <is>
          <t>100mm</t>
        </is>
      </c>
      <c r="F211" s="17" t="inlineStr"/>
      <c r="G211" s="17" t="inlineStr"/>
      <c r="H211" s="17" t="inlineStr"/>
      <c r="I211" s="17" t="inlineStr"/>
      <c r="J211" s="17" t="inlineStr">
        <is>
          <t>Nos</t>
        </is>
      </c>
      <c r="K211" s="15" t="n">
        <v>24155</v>
      </c>
      <c r="L211" s="3" t="inlineStr">
        <is>
          <t>Active</t>
        </is>
      </c>
      <c r="M211" s="17" t="inlineStr"/>
      <c r="N211" s="17" t="inlineStr"/>
    </row>
    <row r="212" ht="15" customHeight="1">
      <c r="A212" s="35" t="inlineStr">
        <is>
          <t>Butterfly Valves</t>
        </is>
      </c>
      <c r="B212" s="13" t="inlineStr">
        <is>
          <t>Rotary Actuated (Double Acting) Spherical Disc (Double Offset) Investment Casting Wafer Type Teflon Seated Butterfly Valve</t>
        </is>
      </c>
      <c r="C212" s="13" t="inlineStr">
        <is>
          <t>F-F: ASME B16.5 | Test: API 598</t>
        </is>
      </c>
      <c r="D212" s="13" t="inlineStr">
        <is>
          <t>S.S.304(CF8) + S.S.304(CF8)</t>
        </is>
      </c>
      <c r="E212" s="14" t="inlineStr">
        <is>
          <t>125mm</t>
        </is>
      </c>
      <c r="F212" s="13" t="inlineStr"/>
      <c r="G212" s="13" t="inlineStr"/>
      <c r="H212" s="13" t="inlineStr"/>
      <c r="I212" s="13" t="inlineStr"/>
      <c r="J212" s="13" t="inlineStr">
        <is>
          <t>Nos</t>
        </is>
      </c>
      <c r="K212" s="15" t="n">
        <v>30555</v>
      </c>
      <c r="L212" s="3" t="inlineStr">
        <is>
          <t>Active</t>
        </is>
      </c>
      <c r="M212" s="13" t="inlineStr"/>
      <c r="N212" s="13" t="inlineStr"/>
    </row>
    <row r="213" ht="15" customHeight="1">
      <c r="A213" s="34" t="inlineStr">
        <is>
          <t>Butterfly Valves</t>
        </is>
      </c>
      <c r="B213" s="17" t="inlineStr">
        <is>
          <t>Rotary Actuated (Double Acting) Spherical Disc (Double Offset) Investment Casting Wafer Type Teflon Seated Butterfly Valve</t>
        </is>
      </c>
      <c r="C213" s="17" t="inlineStr">
        <is>
          <t>F-F: ASME B16.5 | Test: API 598</t>
        </is>
      </c>
      <c r="D213" s="17" t="inlineStr">
        <is>
          <t>S.S.304(CF8) + S.S.304(CF8)</t>
        </is>
      </c>
      <c r="E213" s="18" t="inlineStr">
        <is>
          <t>150mm</t>
        </is>
      </c>
      <c r="F213" s="17" t="inlineStr"/>
      <c r="G213" s="17" t="inlineStr"/>
      <c r="H213" s="17" t="inlineStr"/>
      <c r="I213" s="17" t="inlineStr"/>
      <c r="J213" s="17" t="inlineStr">
        <is>
          <t>Nos</t>
        </is>
      </c>
      <c r="K213" s="15" t="n">
        <v>41955</v>
      </c>
      <c r="L213" s="3" t="inlineStr">
        <is>
          <t>Active</t>
        </is>
      </c>
      <c r="M213" s="17" t="inlineStr"/>
      <c r="N213" s="17" t="inlineStr"/>
    </row>
    <row r="214" ht="15" customHeight="1">
      <c r="A214" s="35" t="inlineStr">
        <is>
          <t>Butterfly Valves</t>
        </is>
      </c>
      <c r="B214" s="13" t="inlineStr">
        <is>
          <t>Rotary Actuated (Double Acting) Spherical Disc (Double Offset) Investment Casting Wafer Type Teflon Seated Butterfly Valve</t>
        </is>
      </c>
      <c r="C214" s="13" t="inlineStr">
        <is>
          <t>F-F: ASME B16.5 | Test: API 598</t>
        </is>
      </c>
      <c r="D214" s="13" t="inlineStr">
        <is>
          <t>S.S.304(CF8) + S.S.304(CF8)</t>
        </is>
      </c>
      <c r="E214" s="14" t="inlineStr">
        <is>
          <t>200mm</t>
        </is>
      </c>
      <c r="F214" s="13" t="inlineStr"/>
      <c r="G214" s="13" t="inlineStr"/>
      <c r="H214" s="13" t="inlineStr"/>
      <c r="I214" s="13" t="inlineStr"/>
      <c r="J214" s="13" t="inlineStr">
        <is>
          <t>Nos</t>
        </is>
      </c>
      <c r="K214" s="15" t="n">
        <v>51955</v>
      </c>
      <c r="L214" s="3" t="inlineStr">
        <is>
          <t>Active</t>
        </is>
      </c>
      <c r="M214" s="13" t="inlineStr"/>
      <c r="N214" s="13" t="inlineStr"/>
    </row>
    <row r="215" ht="15" customHeight="1">
      <c r="A215" s="34" t="inlineStr">
        <is>
          <t>Butterfly Valves</t>
        </is>
      </c>
      <c r="B215" s="17" t="inlineStr">
        <is>
          <t>Rotary Actuated (Double Acting) Spherical Disc (Double Offset) Investment Casting Wafer Type Teflon Seated Butterfly Valve</t>
        </is>
      </c>
      <c r="C215" s="17" t="inlineStr">
        <is>
          <t>F-F: ASME B16.5 | Test: API 598</t>
        </is>
      </c>
      <c r="D215" s="17" t="inlineStr">
        <is>
          <t>S.S.316(CF8M) + S.S.316(CF8M)</t>
        </is>
      </c>
      <c r="E215" s="18" t="inlineStr">
        <is>
          <t>40mm</t>
        </is>
      </c>
      <c r="F215" s="17" t="inlineStr"/>
      <c r="G215" s="17" t="inlineStr"/>
      <c r="H215" s="17" t="inlineStr"/>
      <c r="I215" s="17" t="inlineStr"/>
      <c r="J215" s="17" t="inlineStr">
        <is>
          <t>Nos</t>
        </is>
      </c>
      <c r="K215" s="15" t="n">
        <v>12555</v>
      </c>
      <c r="L215" s="3" t="inlineStr">
        <is>
          <t>Active</t>
        </is>
      </c>
      <c r="M215" s="17" t="inlineStr"/>
      <c r="N215" s="17" t="inlineStr"/>
    </row>
    <row r="216" ht="15" customHeight="1">
      <c r="A216" s="35" t="inlineStr">
        <is>
          <t>Butterfly Valves</t>
        </is>
      </c>
      <c r="B216" s="13" t="inlineStr">
        <is>
          <t>Rotary Actuated (Double Acting) Spherical Disc (Double Offset) Investment Casting Wafer Type Teflon Seated Butterfly Valve</t>
        </is>
      </c>
      <c r="C216" s="13" t="inlineStr">
        <is>
          <t>F-F: ASME B16.5 | Test: API 598</t>
        </is>
      </c>
      <c r="D216" s="13" t="inlineStr">
        <is>
          <t>S.S.316(CF8M) + S.S.316(CF8M)</t>
        </is>
      </c>
      <c r="E216" s="14" t="inlineStr">
        <is>
          <t>50mm</t>
        </is>
      </c>
      <c r="F216" s="13" t="inlineStr"/>
      <c r="G216" s="13" t="inlineStr"/>
      <c r="H216" s="13" t="inlineStr"/>
      <c r="I216" s="13" t="inlineStr"/>
      <c r="J216" s="13" t="inlineStr">
        <is>
          <t>Nos</t>
        </is>
      </c>
      <c r="K216" s="15" t="n">
        <v>14155</v>
      </c>
      <c r="L216" s="3" t="inlineStr">
        <is>
          <t>Active</t>
        </is>
      </c>
      <c r="M216" s="13" t="inlineStr"/>
      <c r="N216" s="13" t="inlineStr"/>
    </row>
    <row r="217" ht="15" customHeight="1">
      <c r="A217" s="34" t="inlineStr">
        <is>
          <t>Butterfly Valves</t>
        </is>
      </c>
      <c r="B217" s="17" t="inlineStr">
        <is>
          <t>Rotary Actuated (Double Acting) Spherical Disc (Double Offset) Investment Casting Wafer Type Teflon Seated Butterfly Valve</t>
        </is>
      </c>
      <c r="C217" s="17" t="inlineStr">
        <is>
          <t>F-F: ASME B16.5 | Test: API 598</t>
        </is>
      </c>
      <c r="D217" s="17" t="inlineStr">
        <is>
          <t>S.S.316(CF8M) + S.S.316(CF8M)</t>
        </is>
      </c>
      <c r="E217" s="18" t="inlineStr">
        <is>
          <t>65mm</t>
        </is>
      </c>
      <c r="F217" s="17" t="inlineStr"/>
      <c r="G217" s="17" t="inlineStr"/>
      <c r="H217" s="17" t="inlineStr"/>
      <c r="I217" s="17" t="inlineStr"/>
      <c r="J217" s="17" t="inlineStr">
        <is>
          <t>Nos</t>
        </is>
      </c>
      <c r="K217" s="15" t="n">
        <v>18555</v>
      </c>
      <c r="L217" s="3" t="inlineStr">
        <is>
          <t>Active</t>
        </is>
      </c>
      <c r="M217" s="17" t="inlineStr"/>
      <c r="N217" s="17" t="inlineStr"/>
    </row>
    <row r="218" ht="15" customHeight="1">
      <c r="A218" s="35" t="inlineStr">
        <is>
          <t>Butterfly Valves</t>
        </is>
      </c>
      <c r="B218" s="13" t="inlineStr">
        <is>
          <t>Rotary Actuated (Double Acting) Spherical Disc (Double Offset) Investment Casting Wafer Type Teflon Seated Butterfly Valve</t>
        </is>
      </c>
      <c r="C218" s="13" t="inlineStr">
        <is>
          <t>F-F: ASME B16.5 | Test: API 598</t>
        </is>
      </c>
      <c r="D218" s="13" t="inlineStr">
        <is>
          <t>S.S.316(CF8M) + S.S.316(CF8M)</t>
        </is>
      </c>
      <c r="E218" s="14" t="inlineStr">
        <is>
          <t>80mm</t>
        </is>
      </c>
      <c r="F218" s="13" t="inlineStr"/>
      <c r="G218" s="13" t="inlineStr"/>
      <c r="H218" s="13" t="inlineStr"/>
      <c r="I218" s="13" t="inlineStr"/>
      <c r="J218" s="13" t="inlineStr">
        <is>
          <t>Nos</t>
        </is>
      </c>
      <c r="K218" s="15" t="n">
        <v>21955</v>
      </c>
      <c r="L218" s="3" t="inlineStr">
        <is>
          <t>Active</t>
        </is>
      </c>
      <c r="M218" s="13" t="inlineStr"/>
      <c r="N218" s="13" t="inlineStr"/>
    </row>
    <row r="219" ht="15" customHeight="1">
      <c r="A219" s="34" t="inlineStr">
        <is>
          <t>Butterfly Valves</t>
        </is>
      </c>
      <c r="B219" s="17" t="inlineStr">
        <is>
          <t>Rotary Actuated (Double Acting) Spherical Disc (Double Offset) Investment Casting Wafer Type Teflon Seated Butterfly Valve</t>
        </is>
      </c>
      <c r="C219" s="17" t="inlineStr">
        <is>
          <t>F-F: ASME B16.5 | Test: API 598</t>
        </is>
      </c>
      <c r="D219" s="17" t="inlineStr">
        <is>
          <t>S.S.316(CF8M) + S.S.316(CF8M)</t>
        </is>
      </c>
      <c r="E219" s="18" t="inlineStr">
        <is>
          <t>100mm</t>
        </is>
      </c>
      <c r="F219" s="17" t="inlineStr"/>
      <c r="G219" s="17" t="inlineStr"/>
      <c r="H219" s="17" t="inlineStr"/>
      <c r="I219" s="17" t="inlineStr"/>
      <c r="J219" s="17" t="inlineStr">
        <is>
          <t>Nos</t>
        </is>
      </c>
      <c r="K219" s="15" t="n">
        <v>26155</v>
      </c>
      <c r="L219" s="3" t="inlineStr">
        <is>
          <t>Active</t>
        </is>
      </c>
      <c r="M219" s="17" t="inlineStr"/>
      <c r="N219" s="17" t="inlineStr"/>
    </row>
    <row r="220" ht="15" customHeight="1">
      <c r="A220" s="35" t="inlineStr">
        <is>
          <t>Butterfly Valves</t>
        </is>
      </c>
      <c r="B220" s="13" t="inlineStr">
        <is>
          <t>Rotary Actuated (Double Acting) Spherical Disc (Double Offset) Investment Casting Wafer Type Teflon Seated Butterfly Valve</t>
        </is>
      </c>
      <c r="C220" s="13" t="inlineStr">
        <is>
          <t>F-F: ASME B16.5 | Test: API 598</t>
        </is>
      </c>
      <c r="D220" s="13" t="inlineStr">
        <is>
          <t>S.S.316(CF8M) + S.S.316(CF8M)</t>
        </is>
      </c>
      <c r="E220" s="14" t="inlineStr">
        <is>
          <t>125mm</t>
        </is>
      </c>
      <c r="F220" s="13" t="inlineStr"/>
      <c r="G220" s="13" t="inlineStr"/>
      <c r="H220" s="13" t="inlineStr"/>
      <c r="I220" s="13" t="inlineStr"/>
      <c r="J220" s="13" t="inlineStr">
        <is>
          <t>Nos</t>
        </is>
      </c>
      <c r="K220" s="15" t="n">
        <v>33955</v>
      </c>
      <c r="L220" s="3" t="inlineStr">
        <is>
          <t>Active</t>
        </is>
      </c>
      <c r="M220" s="13" t="inlineStr"/>
      <c r="N220" s="13" t="inlineStr"/>
    </row>
    <row r="221" ht="15" customHeight="1">
      <c r="A221" s="34" t="inlineStr">
        <is>
          <t>Butterfly Valves</t>
        </is>
      </c>
      <c r="B221" s="17" t="inlineStr">
        <is>
          <t>Rotary Actuated (Double Acting) Spherical Disc (Double Offset) Investment Casting Wafer Type Teflon Seated Butterfly Valve</t>
        </is>
      </c>
      <c r="C221" s="17" t="inlineStr">
        <is>
          <t>F-F: ASME B16.5 | Test: API 598</t>
        </is>
      </c>
      <c r="D221" s="17" t="inlineStr">
        <is>
          <t>S.S.316(CF8M) + S.S.316(CF8M)</t>
        </is>
      </c>
      <c r="E221" s="18" t="inlineStr">
        <is>
          <t>150mm</t>
        </is>
      </c>
      <c r="F221" s="17" t="inlineStr"/>
      <c r="G221" s="17" t="inlineStr"/>
      <c r="H221" s="17" t="inlineStr"/>
      <c r="I221" s="17" t="inlineStr"/>
      <c r="J221" s="17" t="inlineStr">
        <is>
          <t>Nos</t>
        </is>
      </c>
      <c r="K221" s="15" t="n">
        <v>46955</v>
      </c>
      <c r="L221" s="3" t="inlineStr">
        <is>
          <t>Active</t>
        </is>
      </c>
      <c r="M221" s="17" t="inlineStr"/>
      <c r="N221" s="17" t="inlineStr"/>
    </row>
    <row r="222" ht="15" customHeight="1">
      <c r="A222" s="35" t="inlineStr">
        <is>
          <t>Butterfly Valves</t>
        </is>
      </c>
      <c r="B222" s="13" t="inlineStr">
        <is>
          <t>Rotary Actuated (Double Acting) Spherical Disc (Double Offset) Investment Casting Wafer Type Teflon Seated Butterfly Valve</t>
        </is>
      </c>
      <c r="C222" s="13" t="inlineStr">
        <is>
          <t>F-F: ASME B16.5 | Test: API 598</t>
        </is>
      </c>
      <c r="D222" s="13" t="inlineStr">
        <is>
          <t>S.S.316(CF8M) + S.S.316(CF8M)</t>
        </is>
      </c>
      <c r="E222" s="14" t="inlineStr">
        <is>
          <t>200mm</t>
        </is>
      </c>
      <c r="F222" s="13" t="inlineStr"/>
      <c r="G222" s="13" t="inlineStr"/>
      <c r="H222" s="13" t="inlineStr"/>
      <c r="I222" s="13" t="inlineStr"/>
      <c r="J222" s="13" t="inlineStr">
        <is>
          <t>Nos</t>
        </is>
      </c>
      <c r="K222" s="15" t="n">
        <v>61955</v>
      </c>
      <c r="L222" s="3" t="inlineStr">
        <is>
          <t>Active</t>
        </is>
      </c>
      <c r="M222" s="13" t="inlineStr"/>
      <c r="N222" s="13" t="inlineStr"/>
    </row>
  </sheetData>
  <mergeCells count="10">
    <mergeCell ref="A4:B4"/>
    <mergeCell ref="C6:N6"/>
    <mergeCell ref="C5:N5"/>
    <mergeCell ref="A2:N2"/>
    <mergeCell ref="A5:B5"/>
    <mergeCell ref="C3:N3"/>
    <mergeCell ref="A3:B3"/>
    <mergeCell ref="A6:B6"/>
    <mergeCell ref="C4:N4"/>
    <mergeCell ref="A1:N1"/>
  </mergeCells>
  <dataValidations count="2">
    <dataValidation sqref="A8:A422" showDropDown="0" showInputMessage="0" showErrorMessage="1" allowBlank="1" errorTitle="Invalid Type" error="Choose from the list." type="list">
      <formula1>"Ball Valves,Gate Valves,Globe Valves,Check Valves,Control Valves,Butterfly Valves,Strainers,Piston Valves,Safety Valves"</formula1>
    </dataValidation>
    <dataValidation sqref="L8:L422" showDropDown="0" showInputMessage="0" showErrorMessage="1" allowBlank="1" errorTitle="Invalid Status" error="Choose Active or Inactive." type="list">
      <formula1>"Active,Inactive"</formula1>
    </dataValidation>
  </dataValidation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tabColor rgb="00C9A84C"/>
    <outlinePr summaryBelow="1" summaryRight="1"/>
    <pageSetUpPr fitToPage="1"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1" customWidth="1" min="3" max="3"/>
    <col width="13" customWidth="1" min="4" max="4"/>
    <col width="15" customWidth="1" min="5" max="5"/>
    <col width="15" customWidth="1" min="6" max="6"/>
    <col width="15" customWidth="1" min="7" max="7"/>
    <col width="17" customWidth="1" min="8" max="8"/>
    <col width="18" customWidth="1" min="9" max="9"/>
    <col width="14" customWidth="1" min="10" max="10"/>
  </cols>
  <sheetData>
    <row r="1" ht="26" customHeight="1">
      <c r="A1" s="1" t="inlineStr">
        <is>
          <t>SUNFORD VALVES — PRICE RANGE SUMMARY BY PRODUCT TYPE</t>
        </is>
      </c>
    </row>
    <row r="2" ht="14" customHeight="1">
      <c r="A2" s="2" t="inlineStr">
        <is>
          <t>Live-linked from 📋 Product Manager. Refresh with Ctrl+Alt+F9 to force recalculate. All prices INR Ex-Works Surat.</t>
        </is>
      </c>
    </row>
    <row r="3" ht="6" customHeight="1"/>
    <row r="4" ht="30" customHeight="1">
      <c r="A4" s="11" t="inlineStr">
        <is>
          <t>Valve Type</t>
        </is>
      </c>
      <c r="B4" s="11" t="inlineStr">
        <is>
          <t>Total SKUs</t>
        </is>
      </c>
      <c r="C4" s="11" t="inlineStr">
        <is>
          <t>Active SKUs</t>
        </is>
      </c>
      <c r="D4" s="11" t="inlineStr">
        <is>
          <t>Size Variants</t>
        </is>
      </c>
      <c r="E4" s="11" t="inlineStr">
        <is>
          <t>Min Price (₹)</t>
        </is>
      </c>
      <c r="F4" s="11" t="inlineStr">
        <is>
          <t>Max Price (₹)</t>
        </is>
      </c>
      <c r="G4" s="11" t="inlineStr">
        <is>
          <t>Avg Price (₹)</t>
        </is>
      </c>
      <c r="H4" s="11" t="inlineStr">
        <is>
          <t>"On Request" Items</t>
        </is>
      </c>
      <c r="I4" s="11" t="inlineStr">
        <is>
          <t>Price Band</t>
        </is>
      </c>
      <c r="J4" s="11" t="inlineStr">
        <is>
          <t>Sheet Link</t>
        </is>
      </c>
    </row>
    <row r="5" ht="18" customHeight="1">
      <c r="A5" s="36" t="inlineStr">
        <is>
          <t>Gate Valves</t>
        </is>
      </c>
      <c r="B5" s="37">
        <f>COUNTIF('📋 Product Manager'!$A$8:$A$222,A5)</f>
        <v/>
      </c>
      <c r="C5" s="38">
        <f>COUNTIFS('📋 Product Manager'!$A$8:$A$222,A5,'📋 Product Manager'!$L$8:$L$222,"Active")</f>
        <v/>
      </c>
      <c r="D5" s="37">
        <f>SUMPRODUCT((('📋 Product Manager'!$A$8:$A$222=A5)*1)/COUNTIFS('📋 Product Manager'!$A$8:$A$222,'📋 Product Manager'!$A$8:$A$222,'📋 Product Manager'!$E$8:$E$222,'📋 Product Manager'!$E$8:$E$222),('📋 Product Manager'!$A$8:$A$222=A5)*1)</f>
        <v/>
      </c>
      <c r="E5" s="39">
        <f>IFERROR(MINIFS('📋 Product Manager'!$K$8:$K$222,'📋 Product Manager'!$A$8:$A$222,A5,'📋 Product Manager'!$K$8:$K$222,"&gt;0"),"-")</f>
        <v/>
      </c>
      <c r="F5" s="39">
        <f>IFERROR(MAXIFS('📋 Product Manager'!$K$8:$K$222,'📋 Product Manager'!$A$8:$A$222,A5,'📋 Product Manager'!$K$8:$K$222,"&gt;0"),"-")</f>
        <v/>
      </c>
      <c r="G5" s="40">
        <f>IFERROR(AVERAGEIFS('📋 Product Manager'!$K$8:$K$222,'📋 Product Manager'!$A$8:$A$222,A5,'📋 Product Manager'!$K$8:$K$222,"&gt;0"),"-")</f>
        <v/>
      </c>
      <c r="H5" s="41">
        <f>COUNTIFS('📋 Product Manager'!$A$8:$A$222,A5,'📋 Product Manager'!$K$8:$K$222,"On Request")</f>
        <v/>
      </c>
      <c r="I5" s="42">
        <f>IF(ISNUMBER(G5),IF(G5&lt;5000,"⭐ Budget",IF(G5&lt;20000,"⭐⭐ Mid",IF(G5&lt;60000,"⭐⭐⭐ Premium","⭐⭐⭐⭐ High-End"))),"Custom")</f>
        <v/>
      </c>
      <c r="J5" s="43" t="inlineStr">
        <is>
          <t>Go to Gate Valves</t>
        </is>
      </c>
    </row>
    <row r="6" ht="18" customHeight="1">
      <c r="A6" s="44" t="inlineStr">
        <is>
          <t>Globe Valves</t>
        </is>
      </c>
      <c r="B6" s="45">
        <f>COUNTIF('📋 Product Manager'!$A$8:$A$222,A6)</f>
        <v/>
      </c>
      <c r="C6" s="38">
        <f>COUNTIFS('📋 Product Manager'!$A$8:$A$222,A6,'📋 Product Manager'!$L$8:$L$222,"Active")</f>
        <v/>
      </c>
      <c r="D6" s="45">
        <f>SUMPRODUCT((('📋 Product Manager'!$A$8:$A$222=A6)*1)/COUNTIFS('📋 Product Manager'!$A$8:$A$222,'📋 Product Manager'!$A$8:$A$222,'📋 Product Manager'!$E$8:$E$222,'📋 Product Manager'!$E$8:$E$222),('📋 Product Manager'!$A$8:$A$222=A6)*1)</f>
        <v/>
      </c>
      <c r="E6" s="39">
        <f>IFERROR(MINIFS('📋 Product Manager'!$K$8:$K$222,'📋 Product Manager'!$A$8:$A$222,A6,'📋 Product Manager'!$K$8:$K$222,"&gt;0"),"-")</f>
        <v/>
      </c>
      <c r="F6" s="39">
        <f>IFERROR(MAXIFS('📋 Product Manager'!$K$8:$K$222,'📋 Product Manager'!$A$8:$A$222,A6,'📋 Product Manager'!$K$8:$K$222,"&gt;0"),"-")</f>
        <v/>
      </c>
      <c r="G6" s="40">
        <f>IFERROR(AVERAGEIFS('📋 Product Manager'!$K$8:$K$222,'📋 Product Manager'!$A$8:$A$222,A6,'📋 Product Manager'!$K$8:$K$222,"&gt;0"),"-")</f>
        <v/>
      </c>
      <c r="H6" s="41">
        <f>COUNTIFS('📋 Product Manager'!$A$8:$A$222,A6,'📋 Product Manager'!$K$8:$K$222,"On Request")</f>
        <v/>
      </c>
      <c r="I6" s="46">
        <f>IF(ISNUMBER(G6),IF(G6&lt;5000,"⭐ Budget",IF(G6&lt;20000,"⭐⭐ Mid",IF(G6&lt;60000,"⭐⭐⭐ Premium","⭐⭐⭐⭐ High-End"))),"Custom")</f>
        <v/>
      </c>
      <c r="J6" s="47" t="inlineStr">
        <is>
          <t>Go to Globe Valves</t>
        </is>
      </c>
    </row>
    <row r="7" ht="18" customHeight="1">
      <c r="A7" s="48" t="inlineStr">
        <is>
          <t>Control Valves</t>
        </is>
      </c>
      <c r="B7" s="37">
        <f>COUNTIF('📋 Product Manager'!$A$8:$A$222,A7)</f>
        <v/>
      </c>
      <c r="C7" s="38">
        <f>COUNTIFS('📋 Product Manager'!$A$8:$A$222,A7,'📋 Product Manager'!$L$8:$L$222,"Active")</f>
        <v/>
      </c>
      <c r="D7" s="37">
        <f>SUMPRODUCT((('📋 Product Manager'!$A$8:$A$222=A7)*1)/COUNTIFS('📋 Product Manager'!$A$8:$A$222,'📋 Product Manager'!$A$8:$A$222,'📋 Product Manager'!$E$8:$E$222,'📋 Product Manager'!$E$8:$E$222),('📋 Product Manager'!$A$8:$A$222=A7)*1)</f>
        <v/>
      </c>
      <c r="E7" s="39">
        <f>IFERROR(MINIFS('📋 Product Manager'!$K$8:$K$222,'📋 Product Manager'!$A$8:$A$222,A7,'📋 Product Manager'!$K$8:$K$222,"&gt;0"),"-")</f>
        <v/>
      </c>
      <c r="F7" s="39">
        <f>IFERROR(MAXIFS('📋 Product Manager'!$K$8:$K$222,'📋 Product Manager'!$A$8:$A$222,A7,'📋 Product Manager'!$K$8:$K$222,"&gt;0"),"-")</f>
        <v/>
      </c>
      <c r="G7" s="40">
        <f>IFERROR(AVERAGEIFS('📋 Product Manager'!$K$8:$K$222,'📋 Product Manager'!$A$8:$A$222,A7,'📋 Product Manager'!$K$8:$K$222,"&gt;0"),"-")</f>
        <v/>
      </c>
      <c r="H7" s="41">
        <f>COUNTIFS('📋 Product Manager'!$A$8:$A$222,A7,'📋 Product Manager'!$K$8:$K$222,"On Request")</f>
        <v/>
      </c>
      <c r="I7" s="42">
        <f>IF(ISNUMBER(G7),IF(G7&lt;5000,"⭐ Budget",IF(G7&lt;20000,"⭐⭐ Mid",IF(G7&lt;60000,"⭐⭐⭐ Premium","⭐⭐⭐⭐ High-End"))),"Custom")</f>
        <v/>
      </c>
      <c r="J7" s="43" t="inlineStr">
        <is>
          <t>Go to Control Valves</t>
        </is>
      </c>
    </row>
    <row r="8" ht="18" customHeight="1">
      <c r="A8" s="49" t="inlineStr">
        <is>
          <t>Strainers</t>
        </is>
      </c>
      <c r="B8" s="45">
        <f>COUNTIF('📋 Product Manager'!$A$8:$A$222,A8)</f>
        <v/>
      </c>
      <c r="C8" s="38">
        <f>COUNTIFS('📋 Product Manager'!$A$8:$A$222,A8,'📋 Product Manager'!$L$8:$L$222,"Active")</f>
        <v/>
      </c>
      <c r="D8" s="45">
        <f>SUMPRODUCT((('📋 Product Manager'!$A$8:$A$222=A8)*1)/COUNTIFS('📋 Product Manager'!$A$8:$A$222,'📋 Product Manager'!$A$8:$A$222,'📋 Product Manager'!$E$8:$E$222,'📋 Product Manager'!$E$8:$E$222),('📋 Product Manager'!$A$8:$A$222=A8)*1)</f>
        <v/>
      </c>
      <c r="E8" s="39">
        <f>IFERROR(MINIFS('📋 Product Manager'!$K$8:$K$222,'📋 Product Manager'!$A$8:$A$222,A8,'📋 Product Manager'!$K$8:$K$222,"&gt;0"),"-")</f>
        <v/>
      </c>
      <c r="F8" s="39">
        <f>IFERROR(MAXIFS('📋 Product Manager'!$K$8:$K$222,'📋 Product Manager'!$A$8:$A$222,A8,'📋 Product Manager'!$K$8:$K$222,"&gt;0"),"-")</f>
        <v/>
      </c>
      <c r="G8" s="40">
        <f>IFERROR(AVERAGEIFS('📋 Product Manager'!$K$8:$K$222,'📋 Product Manager'!$A$8:$A$222,A8,'📋 Product Manager'!$K$8:$K$222,"&gt;0"),"-")</f>
        <v/>
      </c>
      <c r="H8" s="41">
        <f>COUNTIFS('📋 Product Manager'!$A$8:$A$222,A8,'📋 Product Manager'!$K$8:$K$222,"On Request")</f>
        <v/>
      </c>
      <c r="I8" s="46">
        <f>IF(ISNUMBER(G8),IF(G8&lt;5000,"⭐ Budget",IF(G8&lt;20000,"⭐⭐ Mid",IF(G8&lt;60000,"⭐⭐⭐ Premium","⭐⭐⭐⭐ High-End"))),"Custom")</f>
        <v/>
      </c>
      <c r="J8" s="47" t="inlineStr">
        <is>
          <t>Go to Strainers</t>
        </is>
      </c>
    </row>
    <row r="9" ht="18" customHeight="1">
      <c r="A9" s="50" t="inlineStr">
        <is>
          <t>Check Valves</t>
        </is>
      </c>
      <c r="B9" s="37">
        <f>COUNTIF('📋 Product Manager'!$A$8:$A$222,A9)</f>
        <v/>
      </c>
      <c r="C9" s="38">
        <f>COUNTIFS('📋 Product Manager'!$A$8:$A$222,A9,'📋 Product Manager'!$L$8:$L$222,"Active")</f>
        <v/>
      </c>
      <c r="D9" s="37">
        <f>SUMPRODUCT((('📋 Product Manager'!$A$8:$A$222=A9)*1)/COUNTIFS('📋 Product Manager'!$A$8:$A$222,'📋 Product Manager'!$A$8:$A$222,'📋 Product Manager'!$E$8:$E$222,'📋 Product Manager'!$E$8:$E$222),('📋 Product Manager'!$A$8:$A$222=A9)*1)</f>
        <v/>
      </c>
      <c r="E9" s="39">
        <f>IFERROR(MINIFS('📋 Product Manager'!$K$8:$K$222,'📋 Product Manager'!$A$8:$A$222,A9,'📋 Product Manager'!$K$8:$K$222,"&gt;0"),"-")</f>
        <v/>
      </c>
      <c r="F9" s="39">
        <f>IFERROR(MAXIFS('📋 Product Manager'!$K$8:$K$222,'📋 Product Manager'!$A$8:$A$222,A9,'📋 Product Manager'!$K$8:$K$222,"&gt;0"),"-")</f>
        <v/>
      </c>
      <c r="G9" s="40">
        <f>IFERROR(AVERAGEIFS('📋 Product Manager'!$K$8:$K$222,'📋 Product Manager'!$A$8:$A$222,A9,'📋 Product Manager'!$K$8:$K$222,"&gt;0"),"-")</f>
        <v/>
      </c>
      <c r="H9" s="41">
        <f>COUNTIFS('📋 Product Manager'!$A$8:$A$222,A9,'📋 Product Manager'!$K$8:$K$222,"On Request")</f>
        <v/>
      </c>
      <c r="I9" s="42">
        <f>IF(ISNUMBER(G9),IF(G9&lt;5000,"⭐ Budget",IF(G9&lt;20000,"⭐⭐ Mid",IF(G9&lt;60000,"⭐⭐⭐ Premium","⭐⭐⭐⭐ High-End"))),"Custom")</f>
        <v/>
      </c>
      <c r="J9" s="43" t="inlineStr">
        <is>
          <t>Go to Check Valves</t>
        </is>
      </c>
    </row>
    <row r="10" ht="18" customHeight="1">
      <c r="A10" s="51" t="inlineStr">
        <is>
          <t>Safety Valves</t>
        </is>
      </c>
      <c r="B10" s="45">
        <f>COUNTIF('📋 Product Manager'!$A$8:$A$222,A10)</f>
        <v/>
      </c>
      <c r="C10" s="38">
        <f>COUNTIFS('📋 Product Manager'!$A$8:$A$222,A10,'📋 Product Manager'!$L$8:$L$222,"Active")</f>
        <v/>
      </c>
      <c r="D10" s="45">
        <f>SUMPRODUCT((('📋 Product Manager'!$A$8:$A$222=A10)*1)/COUNTIFS('📋 Product Manager'!$A$8:$A$222,'📋 Product Manager'!$A$8:$A$222,'📋 Product Manager'!$E$8:$E$222,'📋 Product Manager'!$E$8:$E$222),('📋 Product Manager'!$A$8:$A$222=A10)*1)</f>
        <v/>
      </c>
      <c r="E10" s="39">
        <f>IFERROR(MINIFS('📋 Product Manager'!$K$8:$K$222,'📋 Product Manager'!$A$8:$A$222,A10,'📋 Product Manager'!$K$8:$K$222,"&gt;0"),"-")</f>
        <v/>
      </c>
      <c r="F10" s="39">
        <f>IFERROR(MAXIFS('📋 Product Manager'!$K$8:$K$222,'📋 Product Manager'!$A$8:$A$222,A10,'📋 Product Manager'!$K$8:$K$222,"&gt;0"),"-")</f>
        <v/>
      </c>
      <c r="G10" s="40">
        <f>IFERROR(AVERAGEIFS('📋 Product Manager'!$K$8:$K$222,'📋 Product Manager'!$A$8:$A$222,A10,'📋 Product Manager'!$K$8:$K$222,"&gt;0"),"-")</f>
        <v/>
      </c>
      <c r="H10" s="41">
        <f>COUNTIFS('📋 Product Manager'!$A$8:$A$222,A10,'📋 Product Manager'!$K$8:$K$222,"On Request")</f>
        <v/>
      </c>
      <c r="I10" s="46">
        <f>IF(ISNUMBER(G10),IF(G10&lt;5000,"⭐ Budget",IF(G10&lt;20000,"⭐⭐ Mid",IF(G10&lt;60000,"⭐⭐⭐ Premium","⭐⭐⭐⭐ High-End"))),"Custom")</f>
        <v/>
      </c>
      <c r="J10" s="47" t="inlineStr">
        <is>
          <t>Go to Safety Valves</t>
        </is>
      </c>
    </row>
    <row r="11" ht="18" customHeight="1">
      <c r="A11" s="52" t="inlineStr">
        <is>
          <t>Ball Valves</t>
        </is>
      </c>
      <c r="B11" s="37">
        <f>COUNTIF('📋 Product Manager'!$A$8:$A$222,A11)</f>
        <v/>
      </c>
      <c r="C11" s="38">
        <f>COUNTIFS('📋 Product Manager'!$A$8:$A$222,A11,'📋 Product Manager'!$L$8:$L$222,"Active")</f>
        <v/>
      </c>
      <c r="D11" s="37">
        <f>SUMPRODUCT((('📋 Product Manager'!$A$8:$A$222=A11)*1)/COUNTIFS('📋 Product Manager'!$A$8:$A$222,'📋 Product Manager'!$A$8:$A$222,'📋 Product Manager'!$E$8:$E$222,'📋 Product Manager'!$E$8:$E$222),('📋 Product Manager'!$A$8:$A$222=A11)*1)</f>
        <v/>
      </c>
      <c r="E11" s="39">
        <f>IFERROR(MINIFS('📋 Product Manager'!$K$8:$K$222,'📋 Product Manager'!$A$8:$A$222,A11,'📋 Product Manager'!$K$8:$K$222,"&gt;0"),"-")</f>
        <v/>
      </c>
      <c r="F11" s="39">
        <f>IFERROR(MAXIFS('📋 Product Manager'!$K$8:$K$222,'📋 Product Manager'!$A$8:$A$222,A11,'📋 Product Manager'!$K$8:$K$222,"&gt;0"),"-")</f>
        <v/>
      </c>
      <c r="G11" s="40">
        <f>IFERROR(AVERAGEIFS('📋 Product Manager'!$K$8:$K$222,'📋 Product Manager'!$A$8:$A$222,A11,'📋 Product Manager'!$K$8:$K$222,"&gt;0"),"-")</f>
        <v/>
      </c>
      <c r="H11" s="41">
        <f>COUNTIFS('📋 Product Manager'!$A$8:$A$222,A11,'📋 Product Manager'!$K$8:$K$222,"On Request")</f>
        <v/>
      </c>
      <c r="I11" s="42">
        <f>IF(ISNUMBER(G11),IF(G11&lt;5000,"⭐ Budget",IF(G11&lt;20000,"⭐⭐ Mid",IF(G11&lt;60000,"⭐⭐⭐ Premium","⭐⭐⭐⭐ High-End"))),"Custom")</f>
        <v/>
      </c>
      <c r="J11" s="43" t="inlineStr">
        <is>
          <t>Go to Ball Valves</t>
        </is>
      </c>
    </row>
    <row r="12" ht="18" customHeight="1">
      <c r="A12" s="53" t="inlineStr">
        <is>
          <t>Piston Valves</t>
        </is>
      </c>
      <c r="B12" s="45">
        <f>COUNTIF('📋 Product Manager'!$A$8:$A$222,A12)</f>
        <v/>
      </c>
      <c r="C12" s="38">
        <f>COUNTIFS('📋 Product Manager'!$A$8:$A$222,A12,'📋 Product Manager'!$L$8:$L$222,"Active")</f>
        <v/>
      </c>
      <c r="D12" s="45">
        <f>SUMPRODUCT((('📋 Product Manager'!$A$8:$A$222=A12)*1)/COUNTIFS('📋 Product Manager'!$A$8:$A$222,'📋 Product Manager'!$A$8:$A$222,'📋 Product Manager'!$E$8:$E$222,'📋 Product Manager'!$E$8:$E$222),('📋 Product Manager'!$A$8:$A$222=A12)*1)</f>
        <v/>
      </c>
      <c r="E12" s="39">
        <f>IFERROR(MINIFS('📋 Product Manager'!$K$8:$K$222,'📋 Product Manager'!$A$8:$A$222,A12,'📋 Product Manager'!$K$8:$K$222,"&gt;0"),"-")</f>
        <v/>
      </c>
      <c r="F12" s="39">
        <f>IFERROR(MAXIFS('📋 Product Manager'!$K$8:$K$222,'📋 Product Manager'!$A$8:$A$222,A12,'📋 Product Manager'!$K$8:$K$222,"&gt;0"),"-")</f>
        <v/>
      </c>
      <c r="G12" s="40">
        <f>IFERROR(AVERAGEIFS('📋 Product Manager'!$K$8:$K$222,'📋 Product Manager'!$A$8:$A$222,A12,'📋 Product Manager'!$K$8:$K$222,"&gt;0"),"-")</f>
        <v/>
      </c>
      <c r="H12" s="41">
        <f>COUNTIFS('📋 Product Manager'!$A$8:$A$222,A12,'📋 Product Manager'!$K$8:$K$222,"On Request")</f>
        <v/>
      </c>
      <c r="I12" s="46">
        <f>IF(ISNUMBER(G12),IF(G12&lt;5000,"⭐ Budget",IF(G12&lt;20000,"⭐⭐ Mid",IF(G12&lt;60000,"⭐⭐⭐ Premium","⭐⭐⭐⭐ High-End"))),"Custom")</f>
        <v/>
      </c>
      <c r="J12" s="47" t="inlineStr">
        <is>
          <t>Go to Piston Valves</t>
        </is>
      </c>
    </row>
    <row r="13" ht="18" customHeight="1">
      <c r="A13" s="54" t="inlineStr">
        <is>
          <t>Butterfly Valves</t>
        </is>
      </c>
      <c r="B13" s="37">
        <f>COUNTIF('📋 Product Manager'!$A$8:$A$222,A13)</f>
        <v/>
      </c>
      <c r="C13" s="38">
        <f>COUNTIFS('📋 Product Manager'!$A$8:$A$222,A13,'📋 Product Manager'!$L$8:$L$222,"Active")</f>
        <v/>
      </c>
      <c r="D13" s="37">
        <f>SUMPRODUCT((('📋 Product Manager'!$A$8:$A$222=A13)*1)/COUNTIFS('📋 Product Manager'!$A$8:$A$222,'📋 Product Manager'!$A$8:$A$222,'📋 Product Manager'!$E$8:$E$222,'📋 Product Manager'!$E$8:$E$222),('📋 Product Manager'!$A$8:$A$222=A13)*1)</f>
        <v/>
      </c>
      <c r="E13" s="39">
        <f>IFERROR(MINIFS('📋 Product Manager'!$K$8:$K$222,'📋 Product Manager'!$A$8:$A$222,A13,'📋 Product Manager'!$K$8:$K$222,"&gt;0"),"-")</f>
        <v/>
      </c>
      <c r="F13" s="39">
        <f>IFERROR(MAXIFS('📋 Product Manager'!$K$8:$K$222,'📋 Product Manager'!$A$8:$A$222,A13,'📋 Product Manager'!$K$8:$K$222,"&gt;0"),"-")</f>
        <v/>
      </c>
      <c r="G13" s="40">
        <f>IFERROR(AVERAGEIFS('📋 Product Manager'!$K$8:$K$222,'📋 Product Manager'!$A$8:$A$222,A13,'📋 Product Manager'!$K$8:$K$222,"&gt;0"),"-")</f>
        <v/>
      </c>
      <c r="H13" s="41">
        <f>COUNTIFS('📋 Product Manager'!$A$8:$A$222,A13,'📋 Product Manager'!$K$8:$K$222,"On Request")</f>
        <v/>
      </c>
      <c r="I13" s="42">
        <f>IF(ISNUMBER(G13),IF(G13&lt;5000,"⭐ Budget",IF(G13&lt;20000,"⭐⭐ Mid",IF(G13&lt;60000,"⭐⭐⭐ Premium","⭐⭐⭐⭐ High-End"))),"Custom")</f>
        <v/>
      </c>
      <c r="J13" s="43" t="inlineStr">
        <is>
          <t>Go to Butterfly Valves</t>
        </is>
      </c>
    </row>
    <row r="14" ht="20" customHeight="1">
      <c r="A14" s="55" t="inlineStr">
        <is>
          <t>PORTFOLIO TOTAL</t>
        </is>
      </c>
      <c r="E14" s="56">
        <f>MINIFS('📋 Product Manager'!$K$8:$K$222,'📋 Product Manager'!$K$8:$K$222,"&gt;0")</f>
        <v/>
      </c>
      <c r="F14" s="57">
        <f>MAXIFS('📋 Product Manager'!$K$8:$K$222,'📋 Product Manager'!$K$8:$K$222,"&gt;0")</f>
        <v/>
      </c>
      <c r="G14" s="57">
        <f>AVERAGEIFS('📋 Product Manager'!$K$8:$K$222,'📋 Product Manager'!$K$8:$K$222,"&gt;0")</f>
        <v/>
      </c>
      <c r="H14" s="55">
        <f>COUNTIF('📋 Product Manager'!$K$8:$K$222,"On Request")</f>
        <v/>
      </c>
      <c r="I14" s="55">
        <f>COUNTA('📋 Product Manager'!$A$8:$A$222)</f>
        <v/>
      </c>
      <c r="J14" s="55" t="inlineStr">
        <is>
          <t>Go to Product Manager</t>
        </is>
      </c>
    </row>
  </sheetData>
  <mergeCells count="3">
    <mergeCell ref="A1:J1"/>
    <mergeCell ref="A14:D14"/>
    <mergeCell ref="A2:J2"/>
  </mergeCells>
  <hyperlinks>
    <hyperlink xmlns:r="http://schemas.openxmlformats.org/officeDocument/2006/relationships" ref="J5" r:id="rId1"/>
    <hyperlink xmlns:r="http://schemas.openxmlformats.org/officeDocument/2006/relationships" ref="J6" r:id="rId2"/>
    <hyperlink xmlns:r="http://schemas.openxmlformats.org/officeDocument/2006/relationships" ref="J7" r:id="rId3"/>
    <hyperlink xmlns:r="http://schemas.openxmlformats.org/officeDocument/2006/relationships" ref="J8" r:id="rId4"/>
    <hyperlink xmlns:r="http://schemas.openxmlformats.org/officeDocument/2006/relationships" ref="J9" r:id="rId5"/>
    <hyperlink xmlns:r="http://schemas.openxmlformats.org/officeDocument/2006/relationships" ref="J10" r:id="rId6"/>
    <hyperlink xmlns:r="http://schemas.openxmlformats.org/officeDocument/2006/relationships" ref="J11" r:id="rId7"/>
    <hyperlink xmlns:r="http://schemas.openxmlformats.org/officeDocument/2006/relationships" ref="J12" r:id="rId8"/>
    <hyperlink xmlns:r="http://schemas.openxmlformats.org/officeDocument/2006/relationships" ref="J13" r:id="rId9"/>
  </hyperlinks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00555555"/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4" customHeight="1">
      <c r="A1" s="58" t="inlineStr">
        <is>
          <t>SFVC PRODUCT WORKBOOK — USER GUIDE</t>
        </is>
      </c>
    </row>
    <row r="2" ht="18" customHeight="1">
      <c r="A2" s="59" t="inlineStr">
        <is>
          <t>SHEET OVERVIEW</t>
        </is>
      </c>
    </row>
    <row r="3" ht="16" customHeight="1">
      <c r="A3" s="60" t="inlineStr">
        <is>
          <t>📋 Product Manager</t>
        </is>
      </c>
      <c r="B3" s="61" t="inlineStr">
        <is>
          <t>THE ONLY SHEET YOU SHOULD EDIT. All other sheets read from here via formulas. Changing a rate here = it instantly changes in the type sheet and price summary.</t>
        </is>
      </c>
    </row>
    <row r="4" ht="16" customHeight="1">
      <c r="A4" s="60" t="inlineStr">
        <is>
          <t>📊 Price Summary</t>
        </is>
      </c>
      <c r="B4" s="61" t="inlineStr">
        <is>
          <t>Auto-calculated dashboard. COUNTIF/MINIFS/MAXIFS formulas linked to Product Manager. Refreshes on file open or Ctrl+Alt+F9.</t>
        </is>
      </c>
    </row>
    <row r="5" ht="16" customHeight="1">
      <c r="A5" s="60" t="inlineStr">
        <is>
          <t>Ball Valves, Gate Valves, etc.</t>
        </is>
      </c>
      <c r="B5" s="61" t="inlineStr">
        <is>
          <t>Print-ready price sheets. Every cell is a formula pointing to Product Manager. Grouped by product description and MOC.</t>
        </is>
      </c>
    </row>
    <row r="6" ht="8" customHeight="1"/>
    <row r="7" ht="18" customHeight="1">
      <c r="A7" s="59" t="inlineStr">
        <is>
          <t>HOW LINKING WORKS</t>
        </is>
      </c>
    </row>
    <row r="8" ht="16" customHeight="1">
      <c r="A8" s="60" t="inlineStr">
        <is>
          <t>Formula Example</t>
        </is>
      </c>
      <c r="B8" s="61" t="inlineStr">
        <is>
          <t>Cell K8 in Product Manager holds ₹5,755. Ball Valves sheet cell shows =\'📋 Product Manager\'!K8 — it always reads K8.</t>
        </is>
      </c>
    </row>
    <row r="9" ht="16" customHeight="1">
      <c r="A9" s="60" t="inlineStr">
        <is>
          <t>Adding a product</t>
        </is>
      </c>
      <c r="B9" s="61" t="inlineStr">
        <is>
          <t>Add a row in Product Manager. Then go to the relevant type sheet and add a new formula row pointing to the new PM row. (Type sheets have fixed row refs, not dynamic lookup.)</t>
        </is>
      </c>
    </row>
    <row r="10" ht="16" customHeight="1">
      <c r="A10" s="60" t="inlineStr">
        <is>
          <t>Price edit</t>
        </is>
      </c>
      <c r="B10" s="61" t="inlineStr">
        <is>
          <t>Edit column K (Rate_INR) in Product Manager. All linked type sheets update immediately.</t>
        </is>
      </c>
    </row>
    <row r="11" ht="16" customHeight="1">
      <c r="A11" s="60" t="inlineStr">
        <is>
          <t>Status edit</t>
        </is>
      </c>
      <c r="B11" s="61" t="inlineStr">
        <is>
          <t>Edit column L (Status) to "Inactive". The value shows on type sheets. Filter by Status="Active" for website use.</t>
        </is>
      </c>
    </row>
    <row r="12" ht="8" customHeight="1"/>
    <row r="13" ht="18" customHeight="1">
      <c r="A13" s="59" t="inlineStr">
        <is>
          <t>FOR WEBSITE / APP USE</t>
        </is>
      </c>
    </row>
    <row r="14" ht="16" customHeight="1">
      <c r="A14" s="60" t="inlineStr">
        <is>
          <t>JSON Export</t>
        </is>
      </c>
      <c r="B14" s="61" t="inlineStr">
        <is>
          <t>The website should read 📋 Product Manager sheet directly (columns A–N, rows 8 onward). Filter out Status="Inactive" rows. Rate column is numeric for priced items, text "On Request" otherwise.</t>
        </is>
      </c>
    </row>
    <row r="15" ht="16" customHeight="1">
      <c r="A15" s="60" t="inlineStr">
        <is>
          <t>Column Map</t>
        </is>
      </c>
      <c r="B15" s="61" t="inlineStr">
        <is>
          <t>A=Valve_Type, B=Valve_Name, C=Description, D=MOC, E=Size, F=Pressure_Class, G=End_Connection, H=Design_Standard, I=Hydro_Test, J=Unit, K=Rate_INR, L=Status, N=Remarks</t>
        </is>
      </c>
    </row>
    <row r="16" ht="8" customHeight="1"/>
    <row r="17" ht="18" customHeight="1">
      <c r="A17" s="59" t="inlineStr">
        <is>
          <t>COLOR LEGEND</t>
        </is>
      </c>
    </row>
    <row r="18" ht="16" customHeight="1">
      <c r="A18" s="60" t="inlineStr">
        <is>
          <t>Gold background</t>
        </is>
      </c>
      <c r="B18" s="61" t="inlineStr">
        <is>
          <t>Priced item (numeric Rate)</t>
        </is>
      </c>
    </row>
    <row r="19" ht="16" customHeight="1">
      <c r="A19" s="60" t="inlineStr">
        <is>
          <t>Purple/mauve</t>
        </is>
      </c>
      <c r="B19" s="61" t="inlineStr">
        <is>
          <t>"On Request" item</t>
        </is>
      </c>
    </row>
    <row r="20" ht="16" customHeight="1">
      <c r="A20" s="60" t="inlineStr">
        <is>
          <t>Green</t>
        </is>
      </c>
      <c r="B20" s="61" t="inlineStr">
        <is>
          <t>Active status</t>
        </is>
      </c>
    </row>
    <row r="21" ht="16" customHeight="1">
      <c r="A21" s="60" t="inlineStr">
        <is>
          <t>Red</t>
        </is>
      </c>
      <c r="B21" s="61" t="inlineStr">
        <is>
          <t>Inactive status</t>
        </is>
      </c>
    </row>
    <row r="22" ht="16" customHeight="1">
      <c r="A22" s="60" t="inlineStr">
        <is>
          <t>Dark navy row</t>
        </is>
      </c>
      <c r="B22" s="61" t="inlineStr">
        <is>
          <t>Product group header (pulled from PM)</t>
        </is>
      </c>
    </row>
    <row r="23" ht="16" customHeight="1">
      <c r="A23" s="60" t="inlineStr">
        <is>
          <t>Steel blue row</t>
        </is>
      </c>
      <c r="B23" s="61" t="inlineStr">
        <is>
          <t>MOC sub-group header (pulled from PM)</t>
        </is>
      </c>
    </row>
  </sheetData>
  <mergeCells count="20">
    <mergeCell ref="A17:G17"/>
    <mergeCell ref="B14:G14"/>
    <mergeCell ref="B23:G23"/>
    <mergeCell ref="B8:G8"/>
    <mergeCell ref="A13:G13"/>
    <mergeCell ref="B19:G19"/>
    <mergeCell ref="B10:G10"/>
    <mergeCell ref="B9:G9"/>
    <mergeCell ref="B15:G15"/>
    <mergeCell ref="B20:G20"/>
    <mergeCell ref="A1:G1"/>
    <mergeCell ref="B5:G5"/>
    <mergeCell ref="B4:G4"/>
    <mergeCell ref="A7:G7"/>
    <mergeCell ref="B3:G3"/>
    <mergeCell ref="B22:G22"/>
    <mergeCell ref="A2:G2"/>
    <mergeCell ref="B18:G18"/>
    <mergeCell ref="B21:G21"/>
    <mergeCell ref="B11:G1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L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GATE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63" t="inlineStr">
        <is>
          <t>Sr.</t>
        </is>
      </c>
      <c r="B4" s="63" t="inlineStr">
        <is>
          <t>Product Description</t>
        </is>
      </c>
      <c r="C4" s="63" t="inlineStr">
        <is>
          <t>MOC / Material</t>
        </is>
      </c>
      <c r="D4" s="63" t="inlineStr">
        <is>
          <t>Size</t>
        </is>
      </c>
      <c r="E4" s="63" t="inlineStr">
        <is>
          <t>Pressure Class</t>
        </is>
      </c>
      <c r="F4" s="63" t="inlineStr">
        <is>
          <t>End Connection</t>
        </is>
      </c>
      <c r="G4" s="63" t="inlineStr">
        <is>
          <t>Design Standard</t>
        </is>
      </c>
      <c r="H4" s="63" t="inlineStr">
        <is>
          <t>Hydro Test</t>
        </is>
      </c>
      <c r="I4" s="63" t="inlineStr">
        <is>
          <t>Unit</t>
        </is>
      </c>
      <c r="J4" s="63" t="inlineStr">
        <is>
          <t>Rate (INR)</t>
        </is>
      </c>
      <c r="K4" s="63" t="inlineStr">
        <is>
          <t>Status</t>
        </is>
      </c>
      <c r="L4" s="63" t="inlineStr">
        <is>
          <t>Remarks</t>
        </is>
      </c>
    </row>
    <row r="5" ht="22" customHeight="1">
      <c r="A5" s="64">
        <f>'📋 Product Manager'!B8</f>
        <v/>
      </c>
    </row>
    <row r="6" ht="14" customHeight="1">
      <c r="A6" s="65">
        <f>IFERROR("  Design: "&amp;'📋 Product Manager'!H8&amp;"   ·   Hydro: "&amp;'📋 Product Manager'!I8&amp;" Kg/Cm²", "")</f>
        <v/>
      </c>
    </row>
    <row r="7" ht="16" customHeight="1">
      <c r="A7" s="66">
        <f>IFERROR("  MOC: "&amp;'📋 Product Manager'!D8, "")</f>
        <v/>
      </c>
    </row>
    <row r="8" ht="15" customHeight="1">
      <c r="A8" s="67" t="n">
        <v>1</v>
      </c>
      <c r="B8" s="13">
        <f>'📋 Product Manager'!B8</f>
        <v/>
      </c>
      <c r="C8" s="13">
        <f>'📋 Product Manager'!D8</f>
        <v/>
      </c>
      <c r="D8" s="14">
        <f>'📋 Product Manager'!E8</f>
        <v/>
      </c>
      <c r="E8" s="68">
        <f>IFERROR(IF('📋 Product Manager'!F8&lt;&gt;"",'📋 Product Manager'!F8,'📋 Product Manager'!G8),"")</f>
        <v/>
      </c>
      <c r="F8" s="69">
        <f>'📋 Product Manager'!G8</f>
        <v/>
      </c>
      <c r="G8" s="13">
        <f>'📋 Product Manager'!H8</f>
        <v/>
      </c>
      <c r="H8" s="68">
        <f>'📋 Product Manager'!I8</f>
        <v/>
      </c>
      <c r="I8" s="68">
        <f>'📋 Product Manager'!J8</f>
        <v/>
      </c>
      <c r="J8" s="70">
        <f>'📋 Product Manager'!K8</f>
        <v/>
      </c>
      <c r="K8" s="42">
        <f>'📋 Product Manager'!L8</f>
        <v/>
      </c>
      <c r="L8" s="71">
        <f>IFERROR(IF('📋 Product Manager'!N8="","",'📋 Product Manager'!N8),"")</f>
        <v/>
      </c>
    </row>
    <row r="9" ht="15" customHeight="1">
      <c r="A9" s="72" t="n">
        <v>2</v>
      </c>
      <c r="B9" s="17">
        <f>'📋 Product Manager'!B9</f>
        <v/>
      </c>
      <c r="C9" s="17">
        <f>'📋 Product Manager'!D9</f>
        <v/>
      </c>
      <c r="D9" s="18">
        <f>'📋 Product Manager'!E9</f>
        <v/>
      </c>
      <c r="E9" s="73">
        <f>IFERROR(IF('📋 Product Manager'!F9&lt;&gt;"",'📋 Product Manager'!F9,'📋 Product Manager'!G9),"")</f>
        <v/>
      </c>
      <c r="F9" s="74">
        <f>'📋 Product Manager'!G9</f>
        <v/>
      </c>
      <c r="G9" s="17">
        <f>'📋 Product Manager'!H9</f>
        <v/>
      </c>
      <c r="H9" s="73">
        <f>'📋 Product Manager'!I9</f>
        <v/>
      </c>
      <c r="I9" s="73">
        <f>'📋 Product Manager'!J9</f>
        <v/>
      </c>
      <c r="J9" s="70">
        <f>'📋 Product Manager'!K9</f>
        <v/>
      </c>
      <c r="K9" s="46">
        <f>'📋 Product Manager'!L9</f>
        <v/>
      </c>
      <c r="L9" s="75">
        <f>IFERROR(IF('📋 Product Manager'!N9="","",'📋 Product Manager'!N9),"")</f>
        <v/>
      </c>
    </row>
    <row r="10" ht="15" customHeight="1">
      <c r="A10" s="67" t="n">
        <v>3</v>
      </c>
      <c r="B10" s="13">
        <f>'📋 Product Manager'!B10</f>
        <v/>
      </c>
      <c r="C10" s="13">
        <f>'📋 Product Manager'!D10</f>
        <v/>
      </c>
      <c r="D10" s="14">
        <f>'📋 Product Manager'!E10</f>
        <v/>
      </c>
      <c r="E10" s="68">
        <f>IFERROR(IF('📋 Product Manager'!F10&lt;&gt;"",'📋 Product Manager'!F10,'📋 Product Manager'!G10),"")</f>
        <v/>
      </c>
      <c r="F10" s="69">
        <f>'📋 Product Manager'!G10</f>
        <v/>
      </c>
      <c r="G10" s="13">
        <f>'📋 Product Manager'!H10</f>
        <v/>
      </c>
      <c r="H10" s="68">
        <f>'📋 Product Manager'!I10</f>
        <v/>
      </c>
      <c r="I10" s="68">
        <f>'📋 Product Manager'!J10</f>
        <v/>
      </c>
      <c r="J10" s="70">
        <f>'📋 Product Manager'!K10</f>
        <v/>
      </c>
      <c r="K10" s="42">
        <f>'📋 Product Manager'!L10</f>
        <v/>
      </c>
      <c r="L10" s="71">
        <f>IFERROR(IF('📋 Product Manager'!N10="","",'📋 Product Manager'!N10),"")</f>
        <v/>
      </c>
    </row>
    <row r="11" ht="15" customHeight="1">
      <c r="A11" s="72" t="n">
        <v>4</v>
      </c>
      <c r="B11" s="17">
        <f>'📋 Product Manager'!B11</f>
        <v/>
      </c>
      <c r="C11" s="17">
        <f>'📋 Product Manager'!D11</f>
        <v/>
      </c>
      <c r="D11" s="18">
        <f>'📋 Product Manager'!E11</f>
        <v/>
      </c>
      <c r="E11" s="73">
        <f>IFERROR(IF('📋 Product Manager'!F11&lt;&gt;"",'📋 Product Manager'!F11,'📋 Product Manager'!G11),"")</f>
        <v/>
      </c>
      <c r="F11" s="74">
        <f>'📋 Product Manager'!G11</f>
        <v/>
      </c>
      <c r="G11" s="17">
        <f>'📋 Product Manager'!H11</f>
        <v/>
      </c>
      <c r="H11" s="73">
        <f>'📋 Product Manager'!I11</f>
        <v/>
      </c>
      <c r="I11" s="73">
        <f>'📋 Product Manager'!J11</f>
        <v/>
      </c>
      <c r="J11" s="70">
        <f>'📋 Product Manager'!K11</f>
        <v/>
      </c>
      <c r="K11" s="46">
        <f>'📋 Product Manager'!L11</f>
        <v/>
      </c>
      <c r="L11" s="75">
        <f>IFERROR(IF('📋 Product Manager'!N11="","",'📋 Product Manager'!N11),"")</f>
        <v/>
      </c>
    </row>
    <row r="12" ht="15" customHeight="1">
      <c r="A12" s="67" t="n">
        <v>5</v>
      </c>
      <c r="B12" s="13">
        <f>'📋 Product Manager'!B12</f>
        <v/>
      </c>
      <c r="C12" s="13">
        <f>'📋 Product Manager'!D12</f>
        <v/>
      </c>
      <c r="D12" s="14">
        <f>'📋 Product Manager'!E12</f>
        <v/>
      </c>
      <c r="E12" s="68">
        <f>IFERROR(IF('📋 Product Manager'!F12&lt;&gt;"",'📋 Product Manager'!F12,'📋 Product Manager'!G12),"")</f>
        <v/>
      </c>
      <c r="F12" s="69">
        <f>'📋 Product Manager'!G12</f>
        <v/>
      </c>
      <c r="G12" s="13">
        <f>'📋 Product Manager'!H12</f>
        <v/>
      </c>
      <c r="H12" s="68">
        <f>'📋 Product Manager'!I12</f>
        <v/>
      </c>
      <c r="I12" s="68">
        <f>'📋 Product Manager'!J12</f>
        <v/>
      </c>
      <c r="J12" s="70">
        <f>'📋 Product Manager'!K12</f>
        <v/>
      </c>
      <c r="K12" s="42">
        <f>'📋 Product Manager'!L12</f>
        <v/>
      </c>
      <c r="L12" s="71">
        <f>IFERROR(IF('📋 Product Manager'!N12="","",'📋 Product Manager'!N12),"")</f>
        <v/>
      </c>
    </row>
    <row r="13" ht="15" customHeight="1">
      <c r="A13" s="72" t="n">
        <v>6</v>
      </c>
      <c r="B13" s="17">
        <f>'📋 Product Manager'!B13</f>
        <v/>
      </c>
      <c r="C13" s="17">
        <f>'📋 Product Manager'!D13</f>
        <v/>
      </c>
      <c r="D13" s="18">
        <f>'📋 Product Manager'!E13</f>
        <v/>
      </c>
      <c r="E13" s="73">
        <f>IFERROR(IF('📋 Product Manager'!F13&lt;&gt;"",'📋 Product Manager'!F13,'📋 Product Manager'!G13),"")</f>
        <v/>
      </c>
      <c r="F13" s="74">
        <f>'📋 Product Manager'!G13</f>
        <v/>
      </c>
      <c r="G13" s="17">
        <f>'📋 Product Manager'!H13</f>
        <v/>
      </c>
      <c r="H13" s="73">
        <f>'📋 Product Manager'!I13</f>
        <v/>
      </c>
      <c r="I13" s="73">
        <f>'📋 Product Manager'!J13</f>
        <v/>
      </c>
      <c r="J13" s="70">
        <f>'📋 Product Manager'!K13</f>
        <v/>
      </c>
      <c r="K13" s="46">
        <f>'📋 Product Manager'!L13</f>
        <v/>
      </c>
      <c r="L13" s="75">
        <f>IFERROR(IF('📋 Product Manager'!N13="","",'📋 Product Manager'!N13),"")</f>
        <v/>
      </c>
    </row>
    <row r="14" ht="15" customHeight="1">
      <c r="A14" s="67" t="n">
        <v>7</v>
      </c>
      <c r="B14" s="13">
        <f>'📋 Product Manager'!B14</f>
        <v/>
      </c>
      <c r="C14" s="13">
        <f>'📋 Product Manager'!D14</f>
        <v/>
      </c>
      <c r="D14" s="14">
        <f>'📋 Product Manager'!E14</f>
        <v/>
      </c>
      <c r="E14" s="68">
        <f>IFERROR(IF('📋 Product Manager'!F14&lt;&gt;"",'📋 Product Manager'!F14,'📋 Product Manager'!G14),"")</f>
        <v/>
      </c>
      <c r="F14" s="69">
        <f>'📋 Product Manager'!G14</f>
        <v/>
      </c>
      <c r="G14" s="13">
        <f>'📋 Product Manager'!H14</f>
        <v/>
      </c>
      <c r="H14" s="68">
        <f>'📋 Product Manager'!I14</f>
        <v/>
      </c>
      <c r="I14" s="68">
        <f>'📋 Product Manager'!J14</f>
        <v/>
      </c>
      <c r="J14" s="70">
        <f>'📋 Product Manager'!K14</f>
        <v/>
      </c>
      <c r="K14" s="42">
        <f>'📋 Product Manager'!L14</f>
        <v/>
      </c>
      <c r="L14" s="71">
        <f>IFERROR(IF('📋 Product Manager'!N14="","",'📋 Product Manager'!N14),"")</f>
        <v/>
      </c>
    </row>
    <row r="15" ht="15" customHeight="1">
      <c r="A15" s="72" t="n">
        <v>8</v>
      </c>
      <c r="B15" s="17">
        <f>'📋 Product Manager'!B15</f>
        <v/>
      </c>
      <c r="C15" s="17">
        <f>'📋 Product Manager'!D15</f>
        <v/>
      </c>
      <c r="D15" s="18">
        <f>'📋 Product Manager'!E15</f>
        <v/>
      </c>
      <c r="E15" s="73">
        <f>IFERROR(IF('📋 Product Manager'!F15&lt;&gt;"",'📋 Product Manager'!F15,'📋 Product Manager'!G15),"")</f>
        <v/>
      </c>
      <c r="F15" s="74">
        <f>'📋 Product Manager'!G15</f>
        <v/>
      </c>
      <c r="G15" s="17">
        <f>'📋 Product Manager'!H15</f>
        <v/>
      </c>
      <c r="H15" s="73">
        <f>'📋 Product Manager'!I15</f>
        <v/>
      </c>
      <c r="I15" s="73">
        <f>'📋 Product Manager'!J15</f>
        <v/>
      </c>
      <c r="J15" s="70">
        <f>'📋 Product Manager'!K15</f>
        <v/>
      </c>
      <c r="K15" s="46">
        <f>'📋 Product Manager'!L15</f>
        <v/>
      </c>
      <c r="L15" s="75">
        <f>IFERROR(IF('📋 Product Manager'!N15="","",'📋 Product Manager'!N15),"")</f>
        <v/>
      </c>
    </row>
    <row r="16" ht="15" customHeight="1">
      <c r="A16" s="67" t="n">
        <v>9</v>
      </c>
      <c r="B16" s="13">
        <f>'📋 Product Manager'!B16</f>
        <v/>
      </c>
      <c r="C16" s="13">
        <f>'📋 Product Manager'!D16</f>
        <v/>
      </c>
      <c r="D16" s="14">
        <f>'📋 Product Manager'!E16</f>
        <v/>
      </c>
      <c r="E16" s="68">
        <f>IFERROR(IF('📋 Product Manager'!F16&lt;&gt;"",'📋 Product Manager'!F16,'📋 Product Manager'!G16),"")</f>
        <v/>
      </c>
      <c r="F16" s="69">
        <f>'📋 Product Manager'!G16</f>
        <v/>
      </c>
      <c r="G16" s="13">
        <f>'📋 Product Manager'!H16</f>
        <v/>
      </c>
      <c r="H16" s="68">
        <f>'📋 Product Manager'!I16</f>
        <v/>
      </c>
      <c r="I16" s="68">
        <f>'📋 Product Manager'!J16</f>
        <v/>
      </c>
      <c r="J16" s="70">
        <f>'📋 Product Manager'!K16</f>
        <v/>
      </c>
      <c r="K16" s="42">
        <f>'📋 Product Manager'!L16</f>
        <v/>
      </c>
      <c r="L16" s="71">
        <f>IFERROR(IF('📋 Product Manager'!N16="","",'📋 Product Manager'!N16),"")</f>
        <v/>
      </c>
    </row>
    <row r="17" ht="15" customHeight="1">
      <c r="A17" s="72" t="n">
        <v>10</v>
      </c>
      <c r="B17" s="17">
        <f>'📋 Product Manager'!B17</f>
        <v/>
      </c>
      <c r="C17" s="17">
        <f>'📋 Product Manager'!D17</f>
        <v/>
      </c>
      <c r="D17" s="18">
        <f>'📋 Product Manager'!E17</f>
        <v/>
      </c>
      <c r="E17" s="73">
        <f>IFERROR(IF('📋 Product Manager'!F17&lt;&gt;"",'📋 Product Manager'!F17,'📋 Product Manager'!G17),"")</f>
        <v/>
      </c>
      <c r="F17" s="74">
        <f>'📋 Product Manager'!G17</f>
        <v/>
      </c>
      <c r="G17" s="17">
        <f>'📋 Product Manager'!H17</f>
        <v/>
      </c>
      <c r="H17" s="73">
        <f>'📋 Product Manager'!I17</f>
        <v/>
      </c>
      <c r="I17" s="73">
        <f>'📋 Product Manager'!J17</f>
        <v/>
      </c>
      <c r="J17" s="70">
        <f>'📋 Product Manager'!K17</f>
        <v/>
      </c>
      <c r="K17" s="46">
        <f>'📋 Product Manager'!L17</f>
        <v/>
      </c>
      <c r="L17" s="75">
        <f>IFERROR(IF('📋 Product Manager'!N17="","",'📋 Product Manager'!N17),"")</f>
        <v/>
      </c>
    </row>
    <row r="18" ht="15" customHeight="1">
      <c r="A18" s="67" t="n">
        <v>11</v>
      </c>
      <c r="B18" s="13">
        <f>'📋 Product Manager'!B18</f>
        <v/>
      </c>
      <c r="C18" s="13">
        <f>'📋 Product Manager'!D18</f>
        <v/>
      </c>
      <c r="D18" s="14">
        <f>'📋 Product Manager'!E18</f>
        <v/>
      </c>
      <c r="E18" s="68">
        <f>IFERROR(IF('📋 Product Manager'!F18&lt;&gt;"",'📋 Product Manager'!F18,'📋 Product Manager'!G18),"")</f>
        <v/>
      </c>
      <c r="F18" s="69">
        <f>'📋 Product Manager'!G18</f>
        <v/>
      </c>
      <c r="G18" s="13">
        <f>'📋 Product Manager'!H18</f>
        <v/>
      </c>
      <c r="H18" s="68">
        <f>'📋 Product Manager'!I18</f>
        <v/>
      </c>
      <c r="I18" s="68">
        <f>'📋 Product Manager'!J18</f>
        <v/>
      </c>
      <c r="J18" s="70">
        <f>'📋 Product Manager'!K18</f>
        <v/>
      </c>
      <c r="K18" s="42">
        <f>'📋 Product Manager'!L18</f>
        <v/>
      </c>
      <c r="L18" s="71">
        <f>IFERROR(IF('📋 Product Manager'!N18="","",'📋 Product Manager'!N18),"")</f>
        <v/>
      </c>
    </row>
    <row r="19" ht="22" customHeight="1">
      <c r="A19" s="64">
        <f>'📋 Product Manager'!B37</f>
        <v/>
      </c>
    </row>
    <row r="20" ht="14" customHeight="1">
      <c r="A20" s="65">
        <f>IFERROR("  Design: "&amp;'📋 Product Manager'!H37&amp;"   ·   Hydro: "&amp;'📋 Product Manager'!I37&amp;" Kg/Cm²", "")</f>
        <v/>
      </c>
    </row>
    <row r="21" ht="16" customHeight="1">
      <c r="A21" s="66">
        <f>IFERROR("  MOC: "&amp;'📋 Product Manager'!D37, "")</f>
        <v/>
      </c>
    </row>
    <row r="22" ht="15" customHeight="1">
      <c r="A22" s="72" t="n">
        <v>12</v>
      </c>
      <c r="B22" s="17">
        <f>'📋 Product Manager'!B37</f>
        <v/>
      </c>
      <c r="C22" s="17">
        <f>'📋 Product Manager'!D37</f>
        <v/>
      </c>
      <c r="D22" s="18">
        <f>'📋 Product Manager'!E37</f>
        <v/>
      </c>
      <c r="E22" s="73">
        <f>IFERROR(IF('📋 Product Manager'!F37&lt;&gt;"",'📋 Product Manager'!F37,'📋 Product Manager'!G37),"")</f>
        <v/>
      </c>
      <c r="F22" s="74">
        <f>'📋 Product Manager'!G37</f>
        <v/>
      </c>
      <c r="G22" s="17">
        <f>'📋 Product Manager'!H37</f>
        <v/>
      </c>
      <c r="H22" s="73">
        <f>'📋 Product Manager'!I37</f>
        <v/>
      </c>
      <c r="I22" s="73">
        <f>'📋 Product Manager'!J37</f>
        <v/>
      </c>
      <c r="J22" s="70">
        <f>'📋 Product Manager'!K37</f>
        <v/>
      </c>
      <c r="K22" s="46">
        <f>'📋 Product Manager'!L37</f>
        <v/>
      </c>
      <c r="L22" s="75">
        <f>IFERROR(IF('📋 Product Manager'!N37="","",'📋 Product Manager'!N37),"")</f>
        <v/>
      </c>
    </row>
    <row r="23" ht="15" customHeight="1">
      <c r="A23" s="67" t="n">
        <v>13</v>
      </c>
      <c r="B23" s="13">
        <f>'📋 Product Manager'!B38</f>
        <v/>
      </c>
      <c r="C23" s="13">
        <f>'📋 Product Manager'!D38</f>
        <v/>
      </c>
      <c r="D23" s="14">
        <f>'📋 Product Manager'!E38</f>
        <v/>
      </c>
      <c r="E23" s="68">
        <f>IFERROR(IF('📋 Product Manager'!F38&lt;&gt;"",'📋 Product Manager'!F38,'📋 Product Manager'!G38),"")</f>
        <v/>
      </c>
      <c r="F23" s="69">
        <f>'📋 Product Manager'!G38</f>
        <v/>
      </c>
      <c r="G23" s="13">
        <f>'📋 Product Manager'!H38</f>
        <v/>
      </c>
      <c r="H23" s="68">
        <f>'📋 Product Manager'!I38</f>
        <v/>
      </c>
      <c r="I23" s="68">
        <f>'📋 Product Manager'!J38</f>
        <v/>
      </c>
      <c r="J23" s="70">
        <f>'📋 Product Manager'!K38</f>
        <v/>
      </c>
      <c r="K23" s="42">
        <f>'📋 Product Manager'!L38</f>
        <v/>
      </c>
      <c r="L23" s="71">
        <f>IFERROR(IF('📋 Product Manager'!N38="","",'📋 Product Manager'!N38),"")</f>
        <v/>
      </c>
    </row>
    <row r="24" ht="15" customHeight="1">
      <c r="A24" s="72" t="n">
        <v>14</v>
      </c>
      <c r="B24" s="17">
        <f>'📋 Product Manager'!B39</f>
        <v/>
      </c>
      <c r="C24" s="17">
        <f>'📋 Product Manager'!D39</f>
        <v/>
      </c>
      <c r="D24" s="18">
        <f>'📋 Product Manager'!E39</f>
        <v/>
      </c>
      <c r="E24" s="73">
        <f>IFERROR(IF('📋 Product Manager'!F39&lt;&gt;"",'📋 Product Manager'!F39,'📋 Product Manager'!G39),"")</f>
        <v/>
      </c>
      <c r="F24" s="74">
        <f>'📋 Product Manager'!G39</f>
        <v/>
      </c>
      <c r="G24" s="17">
        <f>'📋 Product Manager'!H39</f>
        <v/>
      </c>
      <c r="H24" s="73">
        <f>'📋 Product Manager'!I39</f>
        <v/>
      </c>
      <c r="I24" s="73">
        <f>'📋 Product Manager'!J39</f>
        <v/>
      </c>
      <c r="J24" s="70">
        <f>'📋 Product Manager'!K39</f>
        <v/>
      </c>
      <c r="K24" s="46">
        <f>'📋 Product Manager'!L39</f>
        <v/>
      </c>
      <c r="L24" s="75">
        <f>IFERROR(IF('📋 Product Manager'!N39="","",'📋 Product Manager'!N39),"")</f>
        <v/>
      </c>
    </row>
    <row r="25" ht="15" customHeight="1">
      <c r="A25" s="67" t="n">
        <v>15</v>
      </c>
      <c r="B25" s="13">
        <f>'📋 Product Manager'!B40</f>
        <v/>
      </c>
      <c r="C25" s="13">
        <f>'📋 Product Manager'!D40</f>
        <v/>
      </c>
      <c r="D25" s="14">
        <f>'📋 Product Manager'!E40</f>
        <v/>
      </c>
      <c r="E25" s="68">
        <f>IFERROR(IF('📋 Product Manager'!F40&lt;&gt;"",'📋 Product Manager'!F40,'📋 Product Manager'!G40),"")</f>
        <v/>
      </c>
      <c r="F25" s="69">
        <f>'📋 Product Manager'!G40</f>
        <v/>
      </c>
      <c r="G25" s="13">
        <f>'📋 Product Manager'!H40</f>
        <v/>
      </c>
      <c r="H25" s="68">
        <f>'📋 Product Manager'!I40</f>
        <v/>
      </c>
      <c r="I25" s="68">
        <f>'📋 Product Manager'!J40</f>
        <v/>
      </c>
      <c r="J25" s="70">
        <f>'📋 Product Manager'!K40</f>
        <v/>
      </c>
      <c r="K25" s="42">
        <f>'📋 Product Manager'!L40</f>
        <v/>
      </c>
      <c r="L25" s="71">
        <f>IFERROR(IF('📋 Product Manager'!N40="","",'📋 Product Manager'!N40),"")</f>
        <v/>
      </c>
    </row>
    <row r="26" ht="15" customHeight="1">
      <c r="A26" s="72" t="n">
        <v>16</v>
      </c>
      <c r="B26" s="17">
        <f>'📋 Product Manager'!B41</f>
        <v/>
      </c>
      <c r="C26" s="17">
        <f>'📋 Product Manager'!D41</f>
        <v/>
      </c>
      <c r="D26" s="18">
        <f>'📋 Product Manager'!E41</f>
        <v/>
      </c>
      <c r="E26" s="73">
        <f>IFERROR(IF('📋 Product Manager'!F41&lt;&gt;"",'📋 Product Manager'!F41,'📋 Product Manager'!G41),"")</f>
        <v/>
      </c>
      <c r="F26" s="74">
        <f>'📋 Product Manager'!G41</f>
        <v/>
      </c>
      <c r="G26" s="17">
        <f>'📋 Product Manager'!H41</f>
        <v/>
      </c>
      <c r="H26" s="73">
        <f>'📋 Product Manager'!I41</f>
        <v/>
      </c>
      <c r="I26" s="73">
        <f>'📋 Product Manager'!J41</f>
        <v/>
      </c>
      <c r="J26" s="70">
        <f>'📋 Product Manager'!K41</f>
        <v/>
      </c>
      <c r="K26" s="46">
        <f>'📋 Product Manager'!L41</f>
        <v/>
      </c>
      <c r="L26" s="75">
        <f>IFERROR(IF('📋 Product Manager'!N41="","",'📋 Product Manager'!N41),"")</f>
        <v/>
      </c>
    </row>
    <row r="28">
      <c r="A28" s="76" t="inlineStr">
        <is>
          <t>← Back to Product Manager</t>
        </is>
      </c>
      <c r="E28" s="76" t="inlineStr">
        <is>
          <t>← Price Summary</t>
        </is>
      </c>
    </row>
  </sheetData>
  <mergeCells count="10">
    <mergeCell ref="A20:L20"/>
    <mergeCell ref="A2:L2"/>
    <mergeCell ref="A7:L7"/>
    <mergeCell ref="A28:D28"/>
    <mergeCell ref="A19:L19"/>
    <mergeCell ref="A1:L1"/>
    <mergeCell ref="A5:L5"/>
    <mergeCell ref="A6:L6"/>
    <mergeCell ref="A21:L21"/>
    <mergeCell ref="E28:H28"/>
  </mergeCells>
  <hyperlinks>
    <hyperlink xmlns:r="http://schemas.openxmlformats.org/officeDocument/2006/relationships" ref="A28" r:id="rId1"/>
    <hyperlink xmlns:r="http://schemas.openxmlformats.org/officeDocument/2006/relationships" ref="E28" r:id="rId2"/>
  </hyperlinks>
  <pageMargins left="0.75" right="0.75" top="1" bottom="1" header="0.5" footer="0.5"/>
  <pageSetup orientation="landscape" fitToWidth="1"/>
</worksheet>
</file>

<file path=xl/worksheets/sheet5.xml><?xml version="1.0" encoding="utf-8"?>
<worksheet xmlns="http://schemas.openxmlformats.org/spreadsheetml/2006/main">
  <sheetPr>
    <tabColor rgb="006A1B9A"/>
    <outlinePr summaryBelow="1" summaryRight="1"/>
    <pageSetUpPr fitToPage="1"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GLOBE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77" t="inlineStr">
        <is>
          <t>Sr.</t>
        </is>
      </c>
      <c r="B4" s="77" t="inlineStr">
        <is>
          <t>Product Description</t>
        </is>
      </c>
      <c r="C4" s="77" t="inlineStr">
        <is>
          <t>MOC / Material</t>
        </is>
      </c>
      <c r="D4" s="77" t="inlineStr">
        <is>
          <t>Size</t>
        </is>
      </c>
      <c r="E4" s="77" t="inlineStr">
        <is>
          <t>Pressure Class</t>
        </is>
      </c>
      <c r="F4" s="77" t="inlineStr">
        <is>
          <t>End Connection</t>
        </is>
      </c>
      <c r="G4" s="77" t="inlineStr">
        <is>
          <t>Design Standard</t>
        </is>
      </c>
      <c r="H4" s="77" t="inlineStr">
        <is>
          <t>Hydro Test</t>
        </is>
      </c>
      <c r="I4" s="77" t="inlineStr">
        <is>
          <t>Unit</t>
        </is>
      </c>
      <c r="J4" s="77" t="inlineStr">
        <is>
          <t>Rate (INR)</t>
        </is>
      </c>
      <c r="K4" s="77" t="inlineStr">
        <is>
          <t>Status</t>
        </is>
      </c>
      <c r="L4" s="77" t="inlineStr">
        <is>
          <t>Remarks</t>
        </is>
      </c>
    </row>
    <row r="5" ht="22" customHeight="1">
      <c r="A5" s="64">
        <f>'📋 Product Manager'!B19</f>
        <v/>
      </c>
    </row>
    <row r="6" ht="14" customHeight="1">
      <c r="A6" s="65">
        <f>IFERROR("  Design: "&amp;'📋 Product Manager'!H19&amp;"   ·   Hydro: "&amp;'📋 Product Manager'!I19&amp;" Kg/Cm²", "")</f>
        <v/>
      </c>
    </row>
    <row r="7" ht="16" customHeight="1">
      <c r="A7" s="66">
        <f>IFERROR("  MOC: "&amp;'📋 Product Manager'!D19, "")</f>
        <v/>
      </c>
    </row>
    <row r="8" ht="15" customHeight="1">
      <c r="A8" s="67" t="n">
        <v>1</v>
      </c>
      <c r="B8" s="13">
        <f>'📋 Product Manager'!B19</f>
        <v/>
      </c>
      <c r="C8" s="13">
        <f>'📋 Product Manager'!D19</f>
        <v/>
      </c>
      <c r="D8" s="14">
        <f>'📋 Product Manager'!E19</f>
        <v/>
      </c>
      <c r="E8" s="68">
        <f>IFERROR(IF('📋 Product Manager'!F19&lt;&gt;"",'📋 Product Manager'!F19,'📋 Product Manager'!G19),"")</f>
        <v/>
      </c>
      <c r="F8" s="69">
        <f>'📋 Product Manager'!G19</f>
        <v/>
      </c>
      <c r="G8" s="13">
        <f>'📋 Product Manager'!H19</f>
        <v/>
      </c>
      <c r="H8" s="68">
        <f>'📋 Product Manager'!I19</f>
        <v/>
      </c>
      <c r="I8" s="68">
        <f>'📋 Product Manager'!J19</f>
        <v/>
      </c>
      <c r="J8" s="70">
        <f>'📋 Product Manager'!K19</f>
        <v/>
      </c>
      <c r="K8" s="42">
        <f>'📋 Product Manager'!L19</f>
        <v/>
      </c>
      <c r="L8" s="71">
        <f>IFERROR(IF('📋 Product Manager'!N19="","",'📋 Product Manager'!N19),"")</f>
        <v/>
      </c>
    </row>
    <row r="9" ht="15" customHeight="1">
      <c r="A9" s="72" t="n">
        <v>2</v>
      </c>
      <c r="B9" s="17">
        <f>'📋 Product Manager'!B20</f>
        <v/>
      </c>
      <c r="C9" s="17">
        <f>'📋 Product Manager'!D20</f>
        <v/>
      </c>
      <c r="D9" s="18">
        <f>'📋 Product Manager'!E20</f>
        <v/>
      </c>
      <c r="E9" s="73">
        <f>IFERROR(IF('📋 Product Manager'!F20&lt;&gt;"",'📋 Product Manager'!F20,'📋 Product Manager'!G20),"")</f>
        <v/>
      </c>
      <c r="F9" s="74">
        <f>'📋 Product Manager'!G20</f>
        <v/>
      </c>
      <c r="G9" s="17">
        <f>'📋 Product Manager'!H20</f>
        <v/>
      </c>
      <c r="H9" s="73">
        <f>'📋 Product Manager'!I20</f>
        <v/>
      </c>
      <c r="I9" s="73">
        <f>'📋 Product Manager'!J20</f>
        <v/>
      </c>
      <c r="J9" s="70">
        <f>'📋 Product Manager'!K20</f>
        <v/>
      </c>
      <c r="K9" s="46">
        <f>'📋 Product Manager'!L20</f>
        <v/>
      </c>
      <c r="L9" s="75">
        <f>IFERROR(IF('📋 Product Manager'!N20="","",'📋 Product Manager'!N20),"")</f>
        <v/>
      </c>
    </row>
    <row r="10" ht="15" customHeight="1">
      <c r="A10" s="67" t="n">
        <v>3</v>
      </c>
      <c r="B10" s="13">
        <f>'📋 Product Manager'!B21</f>
        <v/>
      </c>
      <c r="C10" s="13">
        <f>'📋 Product Manager'!D21</f>
        <v/>
      </c>
      <c r="D10" s="14">
        <f>'📋 Product Manager'!E21</f>
        <v/>
      </c>
      <c r="E10" s="68">
        <f>IFERROR(IF('📋 Product Manager'!F21&lt;&gt;"",'📋 Product Manager'!F21,'📋 Product Manager'!G21),"")</f>
        <v/>
      </c>
      <c r="F10" s="69">
        <f>'📋 Product Manager'!G21</f>
        <v/>
      </c>
      <c r="G10" s="13">
        <f>'📋 Product Manager'!H21</f>
        <v/>
      </c>
      <c r="H10" s="68">
        <f>'📋 Product Manager'!I21</f>
        <v/>
      </c>
      <c r="I10" s="68">
        <f>'📋 Product Manager'!J21</f>
        <v/>
      </c>
      <c r="J10" s="70">
        <f>'📋 Product Manager'!K21</f>
        <v/>
      </c>
      <c r="K10" s="42">
        <f>'📋 Product Manager'!L21</f>
        <v/>
      </c>
      <c r="L10" s="71">
        <f>IFERROR(IF('📋 Product Manager'!N21="","",'📋 Product Manager'!N21),"")</f>
        <v/>
      </c>
    </row>
    <row r="11" ht="15" customHeight="1">
      <c r="A11" s="72" t="n">
        <v>4</v>
      </c>
      <c r="B11" s="17">
        <f>'📋 Product Manager'!B22</f>
        <v/>
      </c>
      <c r="C11" s="17">
        <f>'📋 Product Manager'!D22</f>
        <v/>
      </c>
      <c r="D11" s="18">
        <f>'📋 Product Manager'!E22</f>
        <v/>
      </c>
      <c r="E11" s="73">
        <f>IFERROR(IF('📋 Product Manager'!F22&lt;&gt;"",'📋 Product Manager'!F22,'📋 Product Manager'!G22),"")</f>
        <v/>
      </c>
      <c r="F11" s="74">
        <f>'📋 Product Manager'!G22</f>
        <v/>
      </c>
      <c r="G11" s="17">
        <f>'📋 Product Manager'!H22</f>
        <v/>
      </c>
      <c r="H11" s="73">
        <f>'📋 Product Manager'!I22</f>
        <v/>
      </c>
      <c r="I11" s="73">
        <f>'📋 Product Manager'!J22</f>
        <v/>
      </c>
      <c r="J11" s="70">
        <f>'📋 Product Manager'!K22</f>
        <v/>
      </c>
      <c r="K11" s="46">
        <f>'📋 Product Manager'!L22</f>
        <v/>
      </c>
      <c r="L11" s="75">
        <f>IFERROR(IF('📋 Product Manager'!N22="","",'📋 Product Manager'!N22),"")</f>
        <v/>
      </c>
    </row>
    <row r="12" ht="15" customHeight="1">
      <c r="A12" s="67" t="n">
        <v>5</v>
      </c>
      <c r="B12" s="13">
        <f>'📋 Product Manager'!B23</f>
        <v/>
      </c>
      <c r="C12" s="13">
        <f>'📋 Product Manager'!D23</f>
        <v/>
      </c>
      <c r="D12" s="14">
        <f>'📋 Product Manager'!E23</f>
        <v/>
      </c>
      <c r="E12" s="68">
        <f>IFERROR(IF('📋 Product Manager'!F23&lt;&gt;"",'📋 Product Manager'!F23,'📋 Product Manager'!G23),"")</f>
        <v/>
      </c>
      <c r="F12" s="69">
        <f>'📋 Product Manager'!G23</f>
        <v/>
      </c>
      <c r="G12" s="13">
        <f>'📋 Product Manager'!H23</f>
        <v/>
      </c>
      <c r="H12" s="68">
        <f>'📋 Product Manager'!I23</f>
        <v/>
      </c>
      <c r="I12" s="68">
        <f>'📋 Product Manager'!J23</f>
        <v/>
      </c>
      <c r="J12" s="70">
        <f>'📋 Product Manager'!K23</f>
        <v/>
      </c>
      <c r="K12" s="42">
        <f>'📋 Product Manager'!L23</f>
        <v/>
      </c>
      <c r="L12" s="71">
        <f>IFERROR(IF('📋 Product Manager'!N23="","",'📋 Product Manager'!N23),"")</f>
        <v/>
      </c>
    </row>
    <row r="13" ht="15" customHeight="1">
      <c r="A13" s="72" t="n">
        <v>6</v>
      </c>
      <c r="B13" s="17">
        <f>'📋 Product Manager'!B24</f>
        <v/>
      </c>
      <c r="C13" s="17">
        <f>'📋 Product Manager'!D24</f>
        <v/>
      </c>
      <c r="D13" s="18">
        <f>'📋 Product Manager'!E24</f>
        <v/>
      </c>
      <c r="E13" s="73">
        <f>IFERROR(IF('📋 Product Manager'!F24&lt;&gt;"",'📋 Product Manager'!F24,'📋 Product Manager'!G24),"")</f>
        <v/>
      </c>
      <c r="F13" s="74">
        <f>'📋 Product Manager'!G24</f>
        <v/>
      </c>
      <c r="G13" s="17">
        <f>'📋 Product Manager'!H24</f>
        <v/>
      </c>
      <c r="H13" s="73">
        <f>'📋 Product Manager'!I24</f>
        <v/>
      </c>
      <c r="I13" s="73">
        <f>'📋 Product Manager'!J24</f>
        <v/>
      </c>
      <c r="J13" s="70">
        <f>'📋 Product Manager'!K24</f>
        <v/>
      </c>
      <c r="K13" s="46">
        <f>'📋 Product Manager'!L24</f>
        <v/>
      </c>
      <c r="L13" s="75">
        <f>IFERROR(IF('📋 Product Manager'!N24="","",'📋 Product Manager'!N24),"")</f>
        <v/>
      </c>
    </row>
    <row r="14" ht="15" customHeight="1">
      <c r="A14" s="67" t="n">
        <v>7</v>
      </c>
      <c r="B14" s="13">
        <f>'📋 Product Manager'!B25</f>
        <v/>
      </c>
      <c r="C14" s="13">
        <f>'📋 Product Manager'!D25</f>
        <v/>
      </c>
      <c r="D14" s="14">
        <f>'📋 Product Manager'!E25</f>
        <v/>
      </c>
      <c r="E14" s="68">
        <f>IFERROR(IF('📋 Product Manager'!F25&lt;&gt;"",'📋 Product Manager'!F25,'📋 Product Manager'!G25),"")</f>
        <v/>
      </c>
      <c r="F14" s="69">
        <f>'📋 Product Manager'!G25</f>
        <v/>
      </c>
      <c r="G14" s="13">
        <f>'📋 Product Manager'!H25</f>
        <v/>
      </c>
      <c r="H14" s="68">
        <f>'📋 Product Manager'!I25</f>
        <v/>
      </c>
      <c r="I14" s="68">
        <f>'📋 Product Manager'!J25</f>
        <v/>
      </c>
      <c r="J14" s="70">
        <f>'📋 Product Manager'!K25</f>
        <v/>
      </c>
      <c r="K14" s="42">
        <f>'📋 Product Manager'!L25</f>
        <v/>
      </c>
      <c r="L14" s="71">
        <f>IFERROR(IF('📋 Product Manager'!N25="","",'📋 Product Manager'!N25),"")</f>
        <v/>
      </c>
    </row>
    <row r="15" ht="15" customHeight="1">
      <c r="A15" s="72" t="n">
        <v>8</v>
      </c>
      <c r="B15" s="17">
        <f>'📋 Product Manager'!B26</f>
        <v/>
      </c>
      <c r="C15" s="17">
        <f>'📋 Product Manager'!D26</f>
        <v/>
      </c>
      <c r="D15" s="18">
        <f>'📋 Product Manager'!E26</f>
        <v/>
      </c>
      <c r="E15" s="73">
        <f>IFERROR(IF('📋 Product Manager'!F26&lt;&gt;"",'📋 Product Manager'!F26,'📋 Product Manager'!G26),"")</f>
        <v/>
      </c>
      <c r="F15" s="74">
        <f>'📋 Product Manager'!G26</f>
        <v/>
      </c>
      <c r="G15" s="17">
        <f>'📋 Product Manager'!H26</f>
        <v/>
      </c>
      <c r="H15" s="73">
        <f>'📋 Product Manager'!I26</f>
        <v/>
      </c>
      <c r="I15" s="73">
        <f>'📋 Product Manager'!J26</f>
        <v/>
      </c>
      <c r="J15" s="70">
        <f>'📋 Product Manager'!K26</f>
        <v/>
      </c>
      <c r="K15" s="46">
        <f>'📋 Product Manager'!L26</f>
        <v/>
      </c>
      <c r="L15" s="75">
        <f>IFERROR(IF('📋 Product Manager'!N26="","",'📋 Product Manager'!N26),"")</f>
        <v/>
      </c>
    </row>
    <row r="16" ht="15" customHeight="1">
      <c r="A16" s="67" t="n">
        <v>9</v>
      </c>
      <c r="B16" s="13">
        <f>'📋 Product Manager'!B27</f>
        <v/>
      </c>
      <c r="C16" s="13">
        <f>'📋 Product Manager'!D27</f>
        <v/>
      </c>
      <c r="D16" s="14">
        <f>'📋 Product Manager'!E27</f>
        <v/>
      </c>
      <c r="E16" s="68">
        <f>IFERROR(IF('📋 Product Manager'!F27&lt;&gt;"",'📋 Product Manager'!F27,'📋 Product Manager'!G27),"")</f>
        <v/>
      </c>
      <c r="F16" s="69">
        <f>'📋 Product Manager'!G27</f>
        <v/>
      </c>
      <c r="G16" s="13">
        <f>'📋 Product Manager'!H27</f>
        <v/>
      </c>
      <c r="H16" s="68">
        <f>'📋 Product Manager'!I27</f>
        <v/>
      </c>
      <c r="I16" s="68">
        <f>'📋 Product Manager'!J27</f>
        <v/>
      </c>
      <c r="J16" s="70">
        <f>'📋 Product Manager'!K27</f>
        <v/>
      </c>
      <c r="K16" s="42">
        <f>'📋 Product Manager'!L27</f>
        <v/>
      </c>
      <c r="L16" s="71">
        <f>IFERROR(IF('📋 Product Manager'!N27="","",'📋 Product Manager'!N27),"")</f>
        <v/>
      </c>
    </row>
    <row r="17" ht="15" customHeight="1">
      <c r="A17" s="72" t="n">
        <v>10</v>
      </c>
      <c r="B17" s="17">
        <f>'📋 Product Manager'!B28</f>
        <v/>
      </c>
      <c r="C17" s="17">
        <f>'📋 Product Manager'!D28</f>
        <v/>
      </c>
      <c r="D17" s="18">
        <f>'📋 Product Manager'!E28</f>
        <v/>
      </c>
      <c r="E17" s="73">
        <f>IFERROR(IF('📋 Product Manager'!F28&lt;&gt;"",'📋 Product Manager'!F28,'📋 Product Manager'!G28),"")</f>
        <v/>
      </c>
      <c r="F17" s="74">
        <f>'📋 Product Manager'!G28</f>
        <v/>
      </c>
      <c r="G17" s="17">
        <f>'📋 Product Manager'!H28</f>
        <v/>
      </c>
      <c r="H17" s="73">
        <f>'📋 Product Manager'!I28</f>
        <v/>
      </c>
      <c r="I17" s="73">
        <f>'📋 Product Manager'!J28</f>
        <v/>
      </c>
      <c r="J17" s="70">
        <f>'📋 Product Manager'!K28</f>
        <v/>
      </c>
      <c r="K17" s="46">
        <f>'📋 Product Manager'!L28</f>
        <v/>
      </c>
      <c r="L17" s="75">
        <f>IFERROR(IF('📋 Product Manager'!N28="","",'📋 Product Manager'!N28),"")</f>
        <v/>
      </c>
    </row>
    <row r="19">
      <c r="A19" s="76" t="inlineStr">
        <is>
          <t>← Back to Product Manager</t>
        </is>
      </c>
      <c r="E19" s="76" t="inlineStr">
        <is>
          <t>← Price Summary</t>
        </is>
      </c>
    </row>
  </sheetData>
  <mergeCells count="7">
    <mergeCell ref="A2:L2"/>
    <mergeCell ref="A7:L7"/>
    <mergeCell ref="A1:L1"/>
    <mergeCell ref="A5:L5"/>
    <mergeCell ref="A6:L6"/>
    <mergeCell ref="A19:D19"/>
    <mergeCell ref="E19:H19"/>
  </mergeCells>
  <hyperlinks>
    <hyperlink xmlns:r="http://schemas.openxmlformats.org/officeDocument/2006/relationships" ref="A19" r:id="rId1"/>
    <hyperlink xmlns:r="http://schemas.openxmlformats.org/officeDocument/2006/relationships" ref="E19" r:id="rId2"/>
  </hyperlinks>
  <pageMargins left="0.75" right="0.75" top="1" bottom="1" header="0.5" footer="0.5"/>
  <pageSetup orientation="landscape" fitToWidth="1"/>
</worksheet>
</file>

<file path=xl/worksheets/sheet6.xml><?xml version="1.0" encoding="utf-8"?>
<worksheet xmlns="http://schemas.openxmlformats.org/spreadsheetml/2006/main">
  <sheetPr>
    <tabColor rgb="0000838F"/>
    <outlinePr summaryBelow="1" summaryRight="1"/>
    <pageSetUpPr fitToPage="1"/>
  </sheetPr>
  <dimension ref="A1:L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CONTROL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78" t="inlineStr">
        <is>
          <t>Sr.</t>
        </is>
      </c>
      <c r="B4" s="78" t="inlineStr">
        <is>
          <t>Product Description</t>
        </is>
      </c>
      <c r="C4" s="78" t="inlineStr">
        <is>
          <t>MOC / Material</t>
        </is>
      </c>
      <c r="D4" s="78" t="inlineStr">
        <is>
          <t>Size</t>
        </is>
      </c>
      <c r="E4" s="78" t="inlineStr">
        <is>
          <t>Pressure Class</t>
        </is>
      </c>
      <c r="F4" s="78" t="inlineStr">
        <is>
          <t>End Connection</t>
        </is>
      </c>
      <c r="G4" s="78" t="inlineStr">
        <is>
          <t>Design Standard</t>
        </is>
      </c>
      <c r="H4" s="78" t="inlineStr">
        <is>
          <t>Hydro Test</t>
        </is>
      </c>
      <c r="I4" s="78" t="inlineStr">
        <is>
          <t>Unit</t>
        </is>
      </c>
      <c r="J4" s="78" t="inlineStr">
        <is>
          <t>Rate (INR)</t>
        </is>
      </c>
      <c r="K4" s="78" t="inlineStr">
        <is>
          <t>Status</t>
        </is>
      </c>
      <c r="L4" s="78" t="inlineStr">
        <is>
          <t>Remarks</t>
        </is>
      </c>
    </row>
    <row r="5" ht="22" customHeight="1">
      <c r="A5" s="64">
        <f>'📋 Product Manager'!B29</f>
        <v/>
      </c>
    </row>
    <row r="6" ht="14" customHeight="1">
      <c r="A6" s="65">
        <f>IFERROR("  Design: "&amp;'📋 Product Manager'!H29&amp;"   ·   Hydro: "&amp;'📋 Product Manager'!I29&amp;" Kg/Cm²", "")</f>
        <v/>
      </c>
    </row>
    <row r="7" ht="16" customHeight="1">
      <c r="A7" s="66">
        <f>IFERROR("  MOC: "&amp;'📋 Product Manager'!D29, "")</f>
        <v/>
      </c>
    </row>
    <row r="8" ht="15" customHeight="1">
      <c r="A8" s="67" t="n">
        <v>1</v>
      </c>
      <c r="B8" s="13">
        <f>'📋 Product Manager'!B29</f>
        <v/>
      </c>
      <c r="C8" s="13">
        <f>'📋 Product Manager'!D29</f>
        <v/>
      </c>
      <c r="D8" s="14">
        <f>'📋 Product Manager'!E29</f>
        <v/>
      </c>
      <c r="E8" s="68">
        <f>IFERROR(IF('📋 Product Manager'!F29&lt;&gt;"",'📋 Product Manager'!F29,'📋 Product Manager'!G29),"")</f>
        <v/>
      </c>
      <c r="F8" s="69">
        <f>'📋 Product Manager'!G29</f>
        <v/>
      </c>
      <c r="G8" s="13">
        <f>'📋 Product Manager'!H29</f>
        <v/>
      </c>
      <c r="H8" s="68">
        <f>'📋 Product Manager'!I29</f>
        <v/>
      </c>
      <c r="I8" s="68">
        <f>'📋 Product Manager'!J29</f>
        <v/>
      </c>
      <c r="J8" s="70">
        <f>'📋 Product Manager'!K29</f>
        <v/>
      </c>
      <c r="K8" s="42">
        <f>'📋 Product Manager'!L29</f>
        <v/>
      </c>
      <c r="L8" s="71">
        <f>IFERROR(IF('📋 Product Manager'!N29="","",'📋 Product Manager'!N29),"")</f>
        <v/>
      </c>
    </row>
    <row r="9" ht="15" customHeight="1">
      <c r="A9" s="72" t="n">
        <v>2</v>
      </c>
      <c r="B9" s="17">
        <f>'📋 Product Manager'!B30</f>
        <v/>
      </c>
      <c r="C9" s="17">
        <f>'📋 Product Manager'!D30</f>
        <v/>
      </c>
      <c r="D9" s="18">
        <f>'📋 Product Manager'!E30</f>
        <v/>
      </c>
      <c r="E9" s="73">
        <f>IFERROR(IF('📋 Product Manager'!F30&lt;&gt;"",'📋 Product Manager'!F30,'📋 Product Manager'!G30),"")</f>
        <v/>
      </c>
      <c r="F9" s="74">
        <f>'📋 Product Manager'!G30</f>
        <v/>
      </c>
      <c r="G9" s="17">
        <f>'📋 Product Manager'!H30</f>
        <v/>
      </c>
      <c r="H9" s="73">
        <f>'📋 Product Manager'!I30</f>
        <v/>
      </c>
      <c r="I9" s="73">
        <f>'📋 Product Manager'!J30</f>
        <v/>
      </c>
      <c r="J9" s="70">
        <f>'📋 Product Manager'!K30</f>
        <v/>
      </c>
      <c r="K9" s="46">
        <f>'📋 Product Manager'!L30</f>
        <v/>
      </c>
      <c r="L9" s="75">
        <f>IFERROR(IF('📋 Product Manager'!N30="","",'📋 Product Manager'!N30),"")</f>
        <v/>
      </c>
    </row>
    <row r="10" ht="15" customHeight="1">
      <c r="A10" s="67" t="n">
        <v>3</v>
      </c>
      <c r="B10" s="13">
        <f>'📋 Product Manager'!B31</f>
        <v/>
      </c>
      <c r="C10" s="13">
        <f>'📋 Product Manager'!D31</f>
        <v/>
      </c>
      <c r="D10" s="14">
        <f>'📋 Product Manager'!E31</f>
        <v/>
      </c>
      <c r="E10" s="68">
        <f>IFERROR(IF('📋 Product Manager'!F31&lt;&gt;"",'📋 Product Manager'!F31,'📋 Product Manager'!G31),"")</f>
        <v/>
      </c>
      <c r="F10" s="69">
        <f>'📋 Product Manager'!G31</f>
        <v/>
      </c>
      <c r="G10" s="13">
        <f>'📋 Product Manager'!H31</f>
        <v/>
      </c>
      <c r="H10" s="68">
        <f>'📋 Product Manager'!I31</f>
        <v/>
      </c>
      <c r="I10" s="68">
        <f>'📋 Product Manager'!J31</f>
        <v/>
      </c>
      <c r="J10" s="70">
        <f>'📋 Product Manager'!K31</f>
        <v/>
      </c>
      <c r="K10" s="42">
        <f>'📋 Product Manager'!L31</f>
        <v/>
      </c>
      <c r="L10" s="71">
        <f>IFERROR(IF('📋 Product Manager'!N31="","",'📋 Product Manager'!N31),"")</f>
        <v/>
      </c>
    </row>
    <row r="11" ht="15" customHeight="1">
      <c r="A11" s="72" t="n">
        <v>4</v>
      </c>
      <c r="B11" s="17">
        <f>'📋 Product Manager'!B32</f>
        <v/>
      </c>
      <c r="C11" s="17">
        <f>'📋 Product Manager'!D32</f>
        <v/>
      </c>
      <c r="D11" s="18">
        <f>'📋 Product Manager'!E32</f>
        <v/>
      </c>
      <c r="E11" s="73">
        <f>IFERROR(IF('📋 Product Manager'!F32&lt;&gt;"",'📋 Product Manager'!F32,'📋 Product Manager'!G32),"")</f>
        <v/>
      </c>
      <c r="F11" s="74">
        <f>'📋 Product Manager'!G32</f>
        <v/>
      </c>
      <c r="G11" s="17">
        <f>'📋 Product Manager'!H32</f>
        <v/>
      </c>
      <c r="H11" s="73">
        <f>'📋 Product Manager'!I32</f>
        <v/>
      </c>
      <c r="I11" s="73">
        <f>'📋 Product Manager'!J32</f>
        <v/>
      </c>
      <c r="J11" s="70">
        <f>'📋 Product Manager'!K32</f>
        <v/>
      </c>
      <c r="K11" s="46">
        <f>'📋 Product Manager'!L32</f>
        <v/>
      </c>
      <c r="L11" s="75">
        <f>IFERROR(IF('📋 Product Manager'!N32="","",'📋 Product Manager'!N32),"")</f>
        <v/>
      </c>
    </row>
    <row r="12" ht="15" customHeight="1">
      <c r="A12" s="67" t="n">
        <v>5</v>
      </c>
      <c r="B12" s="13">
        <f>'📋 Product Manager'!B33</f>
        <v/>
      </c>
      <c r="C12" s="13">
        <f>'📋 Product Manager'!D33</f>
        <v/>
      </c>
      <c r="D12" s="14">
        <f>'📋 Product Manager'!E33</f>
        <v/>
      </c>
      <c r="E12" s="68">
        <f>IFERROR(IF('📋 Product Manager'!F33&lt;&gt;"",'📋 Product Manager'!F33,'📋 Product Manager'!G33),"")</f>
        <v/>
      </c>
      <c r="F12" s="69">
        <f>'📋 Product Manager'!G33</f>
        <v/>
      </c>
      <c r="G12" s="13">
        <f>'📋 Product Manager'!H33</f>
        <v/>
      </c>
      <c r="H12" s="68">
        <f>'📋 Product Manager'!I33</f>
        <v/>
      </c>
      <c r="I12" s="68">
        <f>'📋 Product Manager'!J33</f>
        <v/>
      </c>
      <c r="J12" s="70">
        <f>'📋 Product Manager'!K33</f>
        <v/>
      </c>
      <c r="K12" s="42">
        <f>'📋 Product Manager'!L33</f>
        <v/>
      </c>
      <c r="L12" s="71">
        <f>IFERROR(IF('📋 Product Manager'!N33="","",'📋 Product Manager'!N33),"")</f>
        <v/>
      </c>
    </row>
    <row r="13" ht="15" customHeight="1">
      <c r="A13" s="72" t="n">
        <v>6</v>
      </c>
      <c r="B13" s="17">
        <f>'📋 Product Manager'!B34</f>
        <v/>
      </c>
      <c r="C13" s="17">
        <f>'📋 Product Manager'!D34</f>
        <v/>
      </c>
      <c r="D13" s="18">
        <f>'📋 Product Manager'!E34</f>
        <v/>
      </c>
      <c r="E13" s="73">
        <f>IFERROR(IF('📋 Product Manager'!F34&lt;&gt;"",'📋 Product Manager'!F34,'📋 Product Manager'!G34),"")</f>
        <v/>
      </c>
      <c r="F13" s="74">
        <f>'📋 Product Manager'!G34</f>
        <v/>
      </c>
      <c r="G13" s="17">
        <f>'📋 Product Manager'!H34</f>
        <v/>
      </c>
      <c r="H13" s="73">
        <f>'📋 Product Manager'!I34</f>
        <v/>
      </c>
      <c r="I13" s="73">
        <f>'📋 Product Manager'!J34</f>
        <v/>
      </c>
      <c r="J13" s="70">
        <f>'📋 Product Manager'!K34</f>
        <v/>
      </c>
      <c r="K13" s="46">
        <f>'📋 Product Manager'!L34</f>
        <v/>
      </c>
      <c r="L13" s="75">
        <f>IFERROR(IF('📋 Product Manager'!N34="","",'📋 Product Manager'!N34),"")</f>
        <v/>
      </c>
    </row>
    <row r="14" ht="15" customHeight="1">
      <c r="A14" s="67" t="n">
        <v>7</v>
      </c>
      <c r="B14" s="13">
        <f>'📋 Product Manager'!B35</f>
        <v/>
      </c>
      <c r="C14" s="13">
        <f>'📋 Product Manager'!D35</f>
        <v/>
      </c>
      <c r="D14" s="14">
        <f>'📋 Product Manager'!E35</f>
        <v/>
      </c>
      <c r="E14" s="68">
        <f>IFERROR(IF('📋 Product Manager'!F35&lt;&gt;"",'📋 Product Manager'!F35,'📋 Product Manager'!G35),"")</f>
        <v/>
      </c>
      <c r="F14" s="69">
        <f>'📋 Product Manager'!G35</f>
        <v/>
      </c>
      <c r="G14" s="13">
        <f>'📋 Product Manager'!H35</f>
        <v/>
      </c>
      <c r="H14" s="68">
        <f>'📋 Product Manager'!I35</f>
        <v/>
      </c>
      <c r="I14" s="68">
        <f>'📋 Product Manager'!J35</f>
        <v/>
      </c>
      <c r="J14" s="70">
        <f>'📋 Product Manager'!K35</f>
        <v/>
      </c>
      <c r="K14" s="42">
        <f>'📋 Product Manager'!L35</f>
        <v/>
      </c>
      <c r="L14" s="71">
        <f>IFERROR(IF('📋 Product Manager'!N35="","",'📋 Product Manager'!N35),"")</f>
        <v/>
      </c>
    </row>
    <row r="15" ht="15" customHeight="1">
      <c r="A15" s="72" t="n">
        <v>8</v>
      </c>
      <c r="B15" s="17">
        <f>'📋 Product Manager'!B36</f>
        <v/>
      </c>
      <c r="C15" s="17">
        <f>'📋 Product Manager'!D36</f>
        <v/>
      </c>
      <c r="D15" s="18">
        <f>'📋 Product Manager'!E36</f>
        <v/>
      </c>
      <c r="E15" s="73">
        <f>IFERROR(IF('📋 Product Manager'!F36&lt;&gt;"",'📋 Product Manager'!F36,'📋 Product Manager'!G36),"")</f>
        <v/>
      </c>
      <c r="F15" s="74">
        <f>'📋 Product Manager'!G36</f>
        <v/>
      </c>
      <c r="G15" s="17">
        <f>'📋 Product Manager'!H36</f>
        <v/>
      </c>
      <c r="H15" s="73">
        <f>'📋 Product Manager'!I36</f>
        <v/>
      </c>
      <c r="I15" s="73">
        <f>'📋 Product Manager'!J36</f>
        <v/>
      </c>
      <c r="J15" s="70">
        <f>'📋 Product Manager'!K36</f>
        <v/>
      </c>
      <c r="K15" s="46">
        <f>'📋 Product Manager'!L36</f>
        <v/>
      </c>
      <c r="L15" s="75">
        <f>IFERROR(IF('📋 Product Manager'!N36="","",'📋 Product Manager'!N36),"")</f>
        <v/>
      </c>
    </row>
    <row r="16" ht="22" customHeight="1">
      <c r="A16" s="64">
        <f>'📋 Product Manager'!B146</f>
        <v/>
      </c>
    </row>
    <row r="17" ht="14" customHeight="1">
      <c r="A17" s="65">
        <f>IFERROR("  Design: "&amp;'📋 Product Manager'!H146&amp;"   ·   Hydro: "&amp;'📋 Product Manager'!I146&amp;" Kg/Cm²", "")</f>
        <v/>
      </c>
    </row>
    <row r="18" ht="16" customHeight="1">
      <c r="A18" s="66">
        <f>IFERROR("  MOC: "&amp;'📋 Product Manager'!D146, "")</f>
        <v/>
      </c>
    </row>
    <row r="19" ht="15" customHeight="1">
      <c r="A19" s="67" t="n">
        <v>9</v>
      </c>
      <c r="B19" s="13">
        <f>'📋 Product Manager'!B146</f>
        <v/>
      </c>
      <c r="C19" s="13">
        <f>'📋 Product Manager'!D146</f>
        <v/>
      </c>
      <c r="D19" s="14">
        <f>'📋 Product Manager'!E146</f>
        <v/>
      </c>
      <c r="E19" s="68">
        <f>IFERROR(IF('📋 Product Manager'!F146&lt;&gt;"",'📋 Product Manager'!F146,'📋 Product Manager'!G146),"")</f>
        <v/>
      </c>
      <c r="F19" s="69">
        <f>'📋 Product Manager'!G146</f>
        <v/>
      </c>
      <c r="G19" s="13">
        <f>'📋 Product Manager'!H146</f>
        <v/>
      </c>
      <c r="H19" s="68">
        <f>'📋 Product Manager'!I146</f>
        <v/>
      </c>
      <c r="I19" s="68">
        <f>'📋 Product Manager'!J146</f>
        <v/>
      </c>
      <c r="J19" s="70">
        <f>'📋 Product Manager'!K146</f>
        <v/>
      </c>
      <c r="K19" s="42">
        <f>'📋 Product Manager'!L146</f>
        <v/>
      </c>
      <c r="L19" s="71">
        <f>IFERROR(IF('📋 Product Manager'!N146="","",'📋 Product Manager'!N146),"")</f>
        <v/>
      </c>
    </row>
    <row r="20" ht="15" customHeight="1">
      <c r="A20" s="72" t="n">
        <v>10</v>
      </c>
      <c r="B20" s="17">
        <f>'📋 Product Manager'!B147</f>
        <v/>
      </c>
      <c r="C20" s="17">
        <f>'📋 Product Manager'!D147</f>
        <v/>
      </c>
      <c r="D20" s="18">
        <f>'📋 Product Manager'!E147</f>
        <v/>
      </c>
      <c r="E20" s="73">
        <f>IFERROR(IF('📋 Product Manager'!F147&lt;&gt;"",'📋 Product Manager'!F147,'📋 Product Manager'!G147),"")</f>
        <v/>
      </c>
      <c r="F20" s="74">
        <f>'📋 Product Manager'!G147</f>
        <v/>
      </c>
      <c r="G20" s="17">
        <f>'📋 Product Manager'!H147</f>
        <v/>
      </c>
      <c r="H20" s="73">
        <f>'📋 Product Manager'!I147</f>
        <v/>
      </c>
      <c r="I20" s="73">
        <f>'📋 Product Manager'!J147</f>
        <v/>
      </c>
      <c r="J20" s="70">
        <f>'📋 Product Manager'!K147</f>
        <v/>
      </c>
      <c r="K20" s="46">
        <f>'📋 Product Manager'!L147</f>
        <v/>
      </c>
      <c r="L20" s="75">
        <f>IFERROR(IF('📋 Product Manager'!N147="","",'📋 Product Manager'!N147),"")</f>
        <v/>
      </c>
    </row>
    <row r="21" ht="15" customHeight="1">
      <c r="A21" s="67" t="n">
        <v>11</v>
      </c>
      <c r="B21" s="13">
        <f>'📋 Product Manager'!B148</f>
        <v/>
      </c>
      <c r="C21" s="13">
        <f>'📋 Product Manager'!D148</f>
        <v/>
      </c>
      <c r="D21" s="14">
        <f>'📋 Product Manager'!E148</f>
        <v/>
      </c>
      <c r="E21" s="68">
        <f>IFERROR(IF('📋 Product Manager'!F148&lt;&gt;"",'📋 Product Manager'!F148,'📋 Product Manager'!G148),"")</f>
        <v/>
      </c>
      <c r="F21" s="69">
        <f>'📋 Product Manager'!G148</f>
        <v/>
      </c>
      <c r="G21" s="13">
        <f>'📋 Product Manager'!H148</f>
        <v/>
      </c>
      <c r="H21" s="68">
        <f>'📋 Product Manager'!I148</f>
        <v/>
      </c>
      <c r="I21" s="68">
        <f>'📋 Product Manager'!J148</f>
        <v/>
      </c>
      <c r="J21" s="70">
        <f>'📋 Product Manager'!K148</f>
        <v/>
      </c>
      <c r="K21" s="42">
        <f>'📋 Product Manager'!L148</f>
        <v/>
      </c>
      <c r="L21" s="71">
        <f>IFERROR(IF('📋 Product Manager'!N148="","",'📋 Product Manager'!N148),"")</f>
        <v/>
      </c>
    </row>
    <row r="22" ht="15" customHeight="1">
      <c r="A22" s="72" t="n">
        <v>12</v>
      </c>
      <c r="B22" s="17">
        <f>'📋 Product Manager'!B149</f>
        <v/>
      </c>
      <c r="C22" s="17">
        <f>'📋 Product Manager'!D149</f>
        <v/>
      </c>
      <c r="D22" s="18">
        <f>'📋 Product Manager'!E149</f>
        <v/>
      </c>
      <c r="E22" s="73">
        <f>IFERROR(IF('📋 Product Manager'!F149&lt;&gt;"",'📋 Product Manager'!F149,'📋 Product Manager'!G149),"")</f>
        <v/>
      </c>
      <c r="F22" s="74">
        <f>'📋 Product Manager'!G149</f>
        <v/>
      </c>
      <c r="G22" s="17">
        <f>'📋 Product Manager'!H149</f>
        <v/>
      </c>
      <c r="H22" s="73">
        <f>'📋 Product Manager'!I149</f>
        <v/>
      </c>
      <c r="I22" s="73">
        <f>'📋 Product Manager'!J149</f>
        <v/>
      </c>
      <c r="J22" s="70">
        <f>'📋 Product Manager'!K149</f>
        <v/>
      </c>
      <c r="K22" s="46">
        <f>'📋 Product Manager'!L149</f>
        <v/>
      </c>
      <c r="L22" s="75">
        <f>IFERROR(IF('📋 Product Manager'!N149="","",'📋 Product Manager'!N149),"")</f>
        <v/>
      </c>
    </row>
    <row r="23" ht="15" customHeight="1">
      <c r="A23" s="67" t="n">
        <v>13</v>
      </c>
      <c r="B23" s="13">
        <f>'📋 Product Manager'!B150</f>
        <v/>
      </c>
      <c r="C23" s="13">
        <f>'📋 Product Manager'!D150</f>
        <v/>
      </c>
      <c r="D23" s="14">
        <f>'📋 Product Manager'!E150</f>
        <v/>
      </c>
      <c r="E23" s="68">
        <f>IFERROR(IF('📋 Product Manager'!F150&lt;&gt;"",'📋 Product Manager'!F150,'📋 Product Manager'!G150),"")</f>
        <v/>
      </c>
      <c r="F23" s="69">
        <f>'📋 Product Manager'!G150</f>
        <v/>
      </c>
      <c r="G23" s="13">
        <f>'📋 Product Manager'!H150</f>
        <v/>
      </c>
      <c r="H23" s="68">
        <f>'📋 Product Manager'!I150</f>
        <v/>
      </c>
      <c r="I23" s="68">
        <f>'📋 Product Manager'!J150</f>
        <v/>
      </c>
      <c r="J23" s="70">
        <f>'📋 Product Manager'!K150</f>
        <v/>
      </c>
      <c r="K23" s="42">
        <f>'📋 Product Manager'!L150</f>
        <v/>
      </c>
      <c r="L23" s="71">
        <f>IFERROR(IF('📋 Product Manager'!N150="","",'📋 Product Manager'!N150),"")</f>
        <v/>
      </c>
    </row>
    <row r="24" ht="22" customHeight="1">
      <c r="A24" s="64">
        <f>'📋 Product Manager'!B151</f>
        <v/>
      </c>
    </row>
    <row r="25" ht="14" customHeight="1">
      <c r="A25" s="65">
        <f>IFERROR("  Design: "&amp;'📋 Product Manager'!H151&amp;"   ·   Hydro: "&amp;'📋 Product Manager'!I151&amp;" Kg/Cm²", "")</f>
        <v/>
      </c>
    </row>
    <row r="26" ht="16" customHeight="1">
      <c r="A26" s="66">
        <f>IFERROR("  MOC: "&amp;'📋 Product Manager'!D151, "")</f>
        <v/>
      </c>
    </row>
    <row r="27" ht="15" customHeight="1">
      <c r="A27" s="72" t="n">
        <v>14</v>
      </c>
      <c r="B27" s="17">
        <f>'📋 Product Manager'!B151</f>
        <v/>
      </c>
      <c r="C27" s="17">
        <f>'📋 Product Manager'!D151</f>
        <v/>
      </c>
      <c r="D27" s="18">
        <f>'📋 Product Manager'!E151</f>
        <v/>
      </c>
      <c r="E27" s="73">
        <f>IFERROR(IF('📋 Product Manager'!F151&lt;&gt;"",'📋 Product Manager'!F151,'📋 Product Manager'!G151),"")</f>
        <v/>
      </c>
      <c r="F27" s="74">
        <f>'📋 Product Manager'!G151</f>
        <v/>
      </c>
      <c r="G27" s="17">
        <f>'📋 Product Manager'!H151</f>
        <v/>
      </c>
      <c r="H27" s="73">
        <f>'📋 Product Manager'!I151</f>
        <v/>
      </c>
      <c r="I27" s="73">
        <f>'📋 Product Manager'!J151</f>
        <v/>
      </c>
      <c r="J27" s="70">
        <f>'📋 Product Manager'!K151</f>
        <v/>
      </c>
      <c r="K27" s="46">
        <f>'📋 Product Manager'!L151</f>
        <v/>
      </c>
      <c r="L27" s="75">
        <f>IFERROR(IF('📋 Product Manager'!N151="","",'📋 Product Manager'!N151),"")</f>
        <v/>
      </c>
    </row>
    <row r="28" ht="15" customHeight="1">
      <c r="A28" s="67" t="n">
        <v>15</v>
      </c>
      <c r="B28" s="13">
        <f>'📋 Product Manager'!B152</f>
        <v/>
      </c>
      <c r="C28" s="13">
        <f>'📋 Product Manager'!D152</f>
        <v/>
      </c>
      <c r="D28" s="14">
        <f>'📋 Product Manager'!E152</f>
        <v/>
      </c>
      <c r="E28" s="68">
        <f>IFERROR(IF('📋 Product Manager'!F152&lt;&gt;"",'📋 Product Manager'!F152,'📋 Product Manager'!G152),"")</f>
        <v/>
      </c>
      <c r="F28" s="69">
        <f>'📋 Product Manager'!G152</f>
        <v/>
      </c>
      <c r="G28" s="13">
        <f>'📋 Product Manager'!H152</f>
        <v/>
      </c>
      <c r="H28" s="68">
        <f>'📋 Product Manager'!I152</f>
        <v/>
      </c>
      <c r="I28" s="68">
        <f>'📋 Product Manager'!J152</f>
        <v/>
      </c>
      <c r="J28" s="70">
        <f>'📋 Product Manager'!K152</f>
        <v/>
      </c>
      <c r="K28" s="42">
        <f>'📋 Product Manager'!L152</f>
        <v/>
      </c>
      <c r="L28" s="71">
        <f>IFERROR(IF('📋 Product Manager'!N152="","",'📋 Product Manager'!N152),"")</f>
        <v/>
      </c>
    </row>
    <row r="29" ht="15" customHeight="1">
      <c r="A29" s="72" t="n">
        <v>16</v>
      </c>
      <c r="B29" s="17">
        <f>'📋 Product Manager'!B153</f>
        <v/>
      </c>
      <c r="C29" s="17">
        <f>'📋 Product Manager'!D153</f>
        <v/>
      </c>
      <c r="D29" s="18">
        <f>'📋 Product Manager'!E153</f>
        <v/>
      </c>
      <c r="E29" s="73">
        <f>IFERROR(IF('📋 Product Manager'!F153&lt;&gt;"",'📋 Product Manager'!F153,'📋 Product Manager'!G153),"")</f>
        <v/>
      </c>
      <c r="F29" s="74">
        <f>'📋 Product Manager'!G153</f>
        <v/>
      </c>
      <c r="G29" s="17">
        <f>'📋 Product Manager'!H153</f>
        <v/>
      </c>
      <c r="H29" s="73">
        <f>'📋 Product Manager'!I153</f>
        <v/>
      </c>
      <c r="I29" s="73">
        <f>'📋 Product Manager'!J153</f>
        <v/>
      </c>
      <c r="J29" s="70">
        <f>'📋 Product Manager'!K153</f>
        <v/>
      </c>
      <c r="K29" s="46">
        <f>'📋 Product Manager'!L153</f>
        <v/>
      </c>
      <c r="L29" s="75">
        <f>IFERROR(IF('📋 Product Manager'!N153="","",'📋 Product Manager'!N153),"")</f>
        <v/>
      </c>
    </row>
    <row r="30" ht="22" customHeight="1">
      <c r="A30" s="64">
        <f>'📋 Product Manager'!B154</f>
        <v/>
      </c>
    </row>
    <row r="31" ht="14" customHeight="1">
      <c r="A31" s="65">
        <f>IFERROR("  Design: "&amp;'📋 Product Manager'!H154&amp;"   ·   Hydro: "&amp;'📋 Product Manager'!I154&amp;" Kg/Cm²", "")</f>
        <v/>
      </c>
    </row>
    <row r="32" ht="16" customHeight="1">
      <c r="A32" s="66">
        <f>IFERROR("  MOC: "&amp;'📋 Product Manager'!D154, "")</f>
        <v/>
      </c>
    </row>
    <row r="33" ht="15" customHeight="1">
      <c r="A33" s="67" t="n">
        <v>17</v>
      </c>
      <c r="B33" s="13">
        <f>'📋 Product Manager'!B154</f>
        <v/>
      </c>
      <c r="C33" s="13">
        <f>'📋 Product Manager'!D154</f>
        <v/>
      </c>
      <c r="D33" s="14">
        <f>'📋 Product Manager'!E154</f>
        <v/>
      </c>
      <c r="E33" s="68">
        <f>IFERROR(IF('📋 Product Manager'!F154&lt;&gt;"",'📋 Product Manager'!F154,'📋 Product Manager'!G154),"")</f>
        <v/>
      </c>
      <c r="F33" s="69">
        <f>'📋 Product Manager'!G154</f>
        <v/>
      </c>
      <c r="G33" s="13">
        <f>'📋 Product Manager'!H154</f>
        <v/>
      </c>
      <c r="H33" s="68">
        <f>'📋 Product Manager'!I154</f>
        <v/>
      </c>
      <c r="I33" s="68">
        <f>'📋 Product Manager'!J154</f>
        <v/>
      </c>
      <c r="J33" s="70">
        <f>'📋 Product Manager'!K154</f>
        <v/>
      </c>
      <c r="K33" s="42">
        <f>'📋 Product Manager'!L154</f>
        <v/>
      </c>
      <c r="L33" s="71">
        <f>IFERROR(IF('📋 Product Manager'!N154="","",'📋 Product Manager'!N154),"")</f>
        <v/>
      </c>
    </row>
    <row r="34" ht="15" customHeight="1">
      <c r="A34" s="72" t="n">
        <v>18</v>
      </c>
      <c r="B34" s="17">
        <f>'📋 Product Manager'!B155</f>
        <v/>
      </c>
      <c r="C34" s="17">
        <f>'📋 Product Manager'!D155</f>
        <v/>
      </c>
      <c r="D34" s="18">
        <f>'📋 Product Manager'!E155</f>
        <v/>
      </c>
      <c r="E34" s="73">
        <f>IFERROR(IF('📋 Product Manager'!F155&lt;&gt;"",'📋 Product Manager'!F155,'📋 Product Manager'!G155),"")</f>
        <v/>
      </c>
      <c r="F34" s="74">
        <f>'📋 Product Manager'!G155</f>
        <v/>
      </c>
      <c r="G34" s="17">
        <f>'📋 Product Manager'!H155</f>
        <v/>
      </c>
      <c r="H34" s="73">
        <f>'📋 Product Manager'!I155</f>
        <v/>
      </c>
      <c r="I34" s="73">
        <f>'📋 Product Manager'!J155</f>
        <v/>
      </c>
      <c r="J34" s="70">
        <f>'📋 Product Manager'!K155</f>
        <v/>
      </c>
      <c r="K34" s="46">
        <f>'📋 Product Manager'!L155</f>
        <v/>
      </c>
      <c r="L34" s="75">
        <f>IFERROR(IF('📋 Product Manager'!N155="","",'📋 Product Manager'!N155),"")</f>
        <v/>
      </c>
    </row>
    <row r="35" ht="15" customHeight="1">
      <c r="A35" s="67" t="n">
        <v>19</v>
      </c>
      <c r="B35" s="13">
        <f>'📋 Product Manager'!B156</f>
        <v/>
      </c>
      <c r="C35" s="13">
        <f>'📋 Product Manager'!D156</f>
        <v/>
      </c>
      <c r="D35" s="14">
        <f>'📋 Product Manager'!E156</f>
        <v/>
      </c>
      <c r="E35" s="68">
        <f>IFERROR(IF('📋 Product Manager'!F156&lt;&gt;"",'📋 Product Manager'!F156,'📋 Product Manager'!G156),"")</f>
        <v/>
      </c>
      <c r="F35" s="69">
        <f>'📋 Product Manager'!G156</f>
        <v/>
      </c>
      <c r="G35" s="13">
        <f>'📋 Product Manager'!H156</f>
        <v/>
      </c>
      <c r="H35" s="68">
        <f>'📋 Product Manager'!I156</f>
        <v/>
      </c>
      <c r="I35" s="68">
        <f>'📋 Product Manager'!J156</f>
        <v/>
      </c>
      <c r="J35" s="70">
        <f>'📋 Product Manager'!K156</f>
        <v/>
      </c>
      <c r="K35" s="42">
        <f>'📋 Product Manager'!L156</f>
        <v/>
      </c>
      <c r="L35" s="71">
        <f>IFERROR(IF('📋 Product Manager'!N156="","",'📋 Product Manager'!N156),"")</f>
        <v/>
      </c>
    </row>
    <row r="36" ht="15" customHeight="1">
      <c r="A36" s="72" t="n">
        <v>20</v>
      </c>
      <c r="B36" s="17">
        <f>'📋 Product Manager'!B157</f>
        <v/>
      </c>
      <c r="C36" s="17">
        <f>'📋 Product Manager'!D157</f>
        <v/>
      </c>
      <c r="D36" s="18">
        <f>'📋 Product Manager'!E157</f>
        <v/>
      </c>
      <c r="E36" s="73">
        <f>IFERROR(IF('📋 Product Manager'!F157&lt;&gt;"",'📋 Product Manager'!F157,'📋 Product Manager'!G157),"")</f>
        <v/>
      </c>
      <c r="F36" s="74">
        <f>'📋 Product Manager'!G157</f>
        <v/>
      </c>
      <c r="G36" s="17">
        <f>'📋 Product Manager'!H157</f>
        <v/>
      </c>
      <c r="H36" s="73">
        <f>'📋 Product Manager'!I157</f>
        <v/>
      </c>
      <c r="I36" s="73">
        <f>'📋 Product Manager'!J157</f>
        <v/>
      </c>
      <c r="J36" s="70">
        <f>'📋 Product Manager'!K157</f>
        <v/>
      </c>
      <c r="K36" s="46">
        <f>'📋 Product Manager'!L157</f>
        <v/>
      </c>
      <c r="L36" s="75">
        <f>IFERROR(IF('📋 Product Manager'!N157="","",'📋 Product Manager'!N157),"")</f>
        <v/>
      </c>
    </row>
    <row r="37" ht="15" customHeight="1">
      <c r="A37" s="67" t="n">
        <v>21</v>
      </c>
      <c r="B37" s="13">
        <f>'📋 Product Manager'!B158</f>
        <v/>
      </c>
      <c r="C37" s="13">
        <f>'📋 Product Manager'!D158</f>
        <v/>
      </c>
      <c r="D37" s="14">
        <f>'📋 Product Manager'!E158</f>
        <v/>
      </c>
      <c r="E37" s="68">
        <f>IFERROR(IF('📋 Product Manager'!F158&lt;&gt;"",'📋 Product Manager'!F158,'📋 Product Manager'!G158),"")</f>
        <v/>
      </c>
      <c r="F37" s="69">
        <f>'📋 Product Manager'!G158</f>
        <v/>
      </c>
      <c r="G37" s="13">
        <f>'📋 Product Manager'!H158</f>
        <v/>
      </c>
      <c r="H37" s="68">
        <f>'📋 Product Manager'!I158</f>
        <v/>
      </c>
      <c r="I37" s="68">
        <f>'📋 Product Manager'!J158</f>
        <v/>
      </c>
      <c r="J37" s="70">
        <f>'📋 Product Manager'!K158</f>
        <v/>
      </c>
      <c r="K37" s="42">
        <f>'📋 Product Manager'!L158</f>
        <v/>
      </c>
      <c r="L37" s="71">
        <f>IFERROR(IF('📋 Product Manager'!N158="","",'📋 Product Manager'!N158),"")</f>
        <v/>
      </c>
    </row>
    <row r="38" ht="22" customHeight="1">
      <c r="A38" s="64">
        <f>'📋 Product Manager'!B159</f>
        <v/>
      </c>
    </row>
    <row r="39" ht="14" customHeight="1">
      <c r="A39" s="65">
        <f>IFERROR("  Design: "&amp;'📋 Product Manager'!H159&amp;"   ·   Hydro: "&amp;'📋 Product Manager'!I159&amp;" Kg/Cm²", "")</f>
        <v/>
      </c>
    </row>
    <row r="40" ht="16" customHeight="1">
      <c r="A40" s="66">
        <f>IFERROR("  MOC: "&amp;'📋 Product Manager'!D159, "")</f>
        <v/>
      </c>
    </row>
    <row r="41" ht="15" customHeight="1">
      <c r="A41" s="72" t="n">
        <v>22</v>
      </c>
      <c r="B41" s="17">
        <f>'📋 Product Manager'!B159</f>
        <v/>
      </c>
      <c r="C41" s="17">
        <f>'📋 Product Manager'!D159</f>
        <v/>
      </c>
      <c r="D41" s="18">
        <f>'📋 Product Manager'!E159</f>
        <v/>
      </c>
      <c r="E41" s="73">
        <f>IFERROR(IF('📋 Product Manager'!F159&lt;&gt;"",'📋 Product Manager'!F159,'📋 Product Manager'!G159),"")</f>
        <v/>
      </c>
      <c r="F41" s="74">
        <f>'📋 Product Manager'!G159</f>
        <v/>
      </c>
      <c r="G41" s="17">
        <f>'📋 Product Manager'!H159</f>
        <v/>
      </c>
      <c r="H41" s="73">
        <f>'📋 Product Manager'!I159</f>
        <v/>
      </c>
      <c r="I41" s="73">
        <f>'📋 Product Manager'!J159</f>
        <v/>
      </c>
      <c r="J41" s="70">
        <f>'📋 Product Manager'!K159</f>
        <v/>
      </c>
      <c r="K41" s="46">
        <f>'📋 Product Manager'!L159</f>
        <v/>
      </c>
      <c r="L41" s="75">
        <f>IFERROR(IF('📋 Product Manager'!N159="","",'📋 Product Manager'!N159),"")</f>
        <v/>
      </c>
    </row>
    <row r="42" ht="15" customHeight="1">
      <c r="A42" s="67" t="n">
        <v>23</v>
      </c>
      <c r="B42" s="13">
        <f>'📋 Product Manager'!B160</f>
        <v/>
      </c>
      <c r="C42" s="13">
        <f>'📋 Product Manager'!D160</f>
        <v/>
      </c>
      <c r="D42" s="14">
        <f>'📋 Product Manager'!E160</f>
        <v/>
      </c>
      <c r="E42" s="68">
        <f>IFERROR(IF('📋 Product Manager'!F160&lt;&gt;"",'📋 Product Manager'!F160,'📋 Product Manager'!G160),"")</f>
        <v/>
      </c>
      <c r="F42" s="69">
        <f>'📋 Product Manager'!G160</f>
        <v/>
      </c>
      <c r="G42" s="13">
        <f>'📋 Product Manager'!H160</f>
        <v/>
      </c>
      <c r="H42" s="68">
        <f>'📋 Product Manager'!I160</f>
        <v/>
      </c>
      <c r="I42" s="68">
        <f>'📋 Product Manager'!J160</f>
        <v/>
      </c>
      <c r="J42" s="70">
        <f>'📋 Product Manager'!K160</f>
        <v/>
      </c>
      <c r="K42" s="42">
        <f>'📋 Product Manager'!L160</f>
        <v/>
      </c>
      <c r="L42" s="71">
        <f>IFERROR(IF('📋 Product Manager'!N160="","",'📋 Product Manager'!N160),"")</f>
        <v/>
      </c>
    </row>
    <row r="43" ht="15" customHeight="1">
      <c r="A43" s="72" t="n">
        <v>24</v>
      </c>
      <c r="B43" s="17">
        <f>'📋 Product Manager'!B161</f>
        <v/>
      </c>
      <c r="C43" s="17">
        <f>'📋 Product Manager'!D161</f>
        <v/>
      </c>
      <c r="D43" s="18">
        <f>'📋 Product Manager'!E161</f>
        <v/>
      </c>
      <c r="E43" s="73">
        <f>IFERROR(IF('📋 Product Manager'!F161&lt;&gt;"",'📋 Product Manager'!F161,'📋 Product Manager'!G161),"")</f>
        <v/>
      </c>
      <c r="F43" s="74">
        <f>'📋 Product Manager'!G161</f>
        <v/>
      </c>
      <c r="G43" s="17">
        <f>'📋 Product Manager'!H161</f>
        <v/>
      </c>
      <c r="H43" s="73">
        <f>'📋 Product Manager'!I161</f>
        <v/>
      </c>
      <c r="I43" s="73">
        <f>'📋 Product Manager'!J161</f>
        <v/>
      </c>
      <c r="J43" s="70">
        <f>'📋 Product Manager'!K161</f>
        <v/>
      </c>
      <c r="K43" s="46">
        <f>'📋 Product Manager'!L161</f>
        <v/>
      </c>
      <c r="L43" s="75">
        <f>IFERROR(IF('📋 Product Manager'!N161="","",'📋 Product Manager'!N161),"")</f>
        <v/>
      </c>
    </row>
    <row r="44" ht="15" customHeight="1">
      <c r="A44" s="67" t="n">
        <v>25</v>
      </c>
      <c r="B44" s="13">
        <f>'📋 Product Manager'!B162</f>
        <v/>
      </c>
      <c r="C44" s="13">
        <f>'📋 Product Manager'!D162</f>
        <v/>
      </c>
      <c r="D44" s="14">
        <f>'📋 Product Manager'!E162</f>
        <v/>
      </c>
      <c r="E44" s="68">
        <f>IFERROR(IF('📋 Product Manager'!F162&lt;&gt;"",'📋 Product Manager'!F162,'📋 Product Manager'!G162),"")</f>
        <v/>
      </c>
      <c r="F44" s="69">
        <f>'📋 Product Manager'!G162</f>
        <v/>
      </c>
      <c r="G44" s="13">
        <f>'📋 Product Manager'!H162</f>
        <v/>
      </c>
      <c r="H44" s="68">
        <f>'📋 Product Manager'!I162</f>
        <v/>
      </c>
      <c r="I44" s="68">
        <f>'📋 Product Manager'!J162</f>
        <v/>
      </c>
      <c r="J44" s="70">
        <f>'📋 Product Manager'!K162</f>
        <v/>
      </c>
      <c r="K44" s="42">
        <f>'📋 Product Manager'!L162</f>
        <v/>
      </c>
      <c r="L44" s="71">
        <f>IFERROR(IF('📋 Product Manager'!N162="","",'📋 Product Manager'!N162),"")</f>
        <v/>
      </c>
    </row>
    <row r="45" ht="15" customHeight="1">
      <c r="A45" s="72" t="n">
        <v>26</v>
      </c>
      <c r="B45" s="17">
        <f>'📋 Product Manager'!B163</f>
        <v/>
      </c>
      <c r="C45" s="17">
        <f>'📋 Product Manager'!D163</f>
        <v/>
      </c>
      <c r="D45" s="18">
        <f>'📋 Product Manager'!E163</f>
        <v/>
      </c>
      <c r="E45" s="73">
        <f>IFERROR(IF('📋 Product Manager'!F163&lt;&gt;"",'📋 Product Manager'!F163,'📋 Product Manager'!G163),"")</f>
        <v/>
      </c>
      <c r="F45" s="74">
        <f>'📋 Product Manager'!G163</f>
        <v/>
      </c>
      <c r="G45" s="17">
        <f>'📋 Product Manager'!H163</f>
        <v/>
      </c>
      <c r="H45" s="73">
        <f>'📋 Product Manager'!I163</f>
        <v/>
      </c>
      <c r="I45" s="73">
        <f>'📋 Product Manager'!J163</f>
        <v/>
      </c>
      <c r="J45" s="70">
        <f>'📋 Product Manager'!K163</f>
        <v/>
      </c>
      <c r="K45" s="46">
        <f>'📋 Product Manager'!L163</f>
        <v/>
      </c>
      <c r="L45" s="75">
        <f>IFERROR(IF('📋 Product Manager'!N163="","",'📋 Product Manager'!N163),"")</f>
        <v/>
      </c>
    </row>
    <row r="47">
      <c r="A47" s="76" t="inlineStr">
        <is>
          <t>← Back to Product Manager</t>
        </is>
      </c>
      <c r="E47" s="76" t="inlineStr">
        <is>
          <t>← Price Summary</t>
        </is>
      </c>
    </row>
  </sheetData>
  <mergeCells count="19">
    <mergeCell ref="A16:L16"/>
    <mergeCell ref="A7:L7"/>
    <mergeCell ref="A25:L25"/>
    <mergeCell ref="A18:L18"/>
    <mergeCell ref="A26:L26"/>
    <mergeCell ref="A2:L2"/>
    <mergeCell ref="E47:H47"/>
    <mergeCell ref="A5:L5"/>
    <mergeCell ref="A32:L32"/>
    <mergeCell ref="A17:L17"/>
    <mergeCell ref="A38:L38"/>
    <mergeCell ref="A31:L31"/>
    <mergeCell ref="A40:L40"/>
    <mergeCell ref="A39:L39"/>
    <mergeCell ref="A24:L24"/>
    <mergeCell ref="A30:L30"/>
    <mergeCell ref="A1:L1"/>
    <mergeCell ref="A6:L6"/>
    <mergeCell ref="A47:D47"/>
  </mergeCells>
  <hyperlinks>
    <hyperlink xmlns:r="http://schemas.openxmlformats.org/officeDocument/2006/relationships" ref="A47" r:id="rId1"/>
    <hyperlink xmlns:r="http://schemas.openxmlformats.org/officeDocument/2006/relationships" ref="E47" r:id="rId2"/>
  </hyperlinks>
  <pageMargins left="0.75" right="0.75" top="1" bottom="1" header="0.5" footer="0.5"/>
  <pageSetup orientation="landscape" fitToWidth="1"/>
</worksheet>
</file>

<file path=xl/worksheets/sheet7.xml><?xml version="1.0" encoding="utf-8"?>
<worksheet xmlns="http://schemas.openxmlformats.org/spreadsheetml/2006/main">
  <sheetPr>
    <tabColor rgb="004527A0"/>
    <outlinePr summaryBelow="1" summaryRight="1"/>
    <pageSetUpPr fitToPage="1"/>
  </sheetPr>
  <dimension ref="A1:L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STRAINERS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79" t="inlineStr">
        <is>
          <t>Sr.</t>
        </is>
      </c>
      <c r="B4" s="79" t="inlineStr">
        <is>
          <t>Product Description</t>
        </is>
      </c>
      <c r="C4" s="79" t="inlineStr">
        <is>
          <t>MOC / Material</t>
        </is>
      </c>
      <c r="D4" s="79" t="inlineStr">
        <is>
          <t>Size</t>
        </is>
      </c>
      <c r="E4" s="79" t="inlineStr">
        <is>
          <t>Pressure Class</t>
        </is>
      </c>
      <c r="F4" s="79" t="inlineStr">
        <is>
          <t>End Connection</t>
        </is>
      </c>
      <c r="G4" s="79" t="inlineStr">
        <is>
          <t>Design Standard</t>
        </is>
      </c>
      <c r="H4" s="79" t="inlineStr">
        <is>
          <t>Hydro Test</t>
        </is>
      </c>
      <c r="I4" s="79" t="inlineStr">
        <is>
          <t>Unit</t>
        </is>
      </c>
      <c r="J4" s="79" t="inlineStr">
        <is>
          <t>Rate (INR)</t>
        </is>
      </c>
      <c r="K4" s="79" t="inlineStr">
        <is>
          <t>Status</t>
        </is>
      </c>
      <c r="L4" s="79" t="inlineStr">
        <is>
          <t>Remarks</t>
        </is>
      </c>
    </row>
    <row r="5" ht="22" customHeight="1">
      <c r="A5" s="64">
        <f>'📋 Product Manager'!B42</f>
        <v/>
      </c>
    </row>
    <row r="6" ht="14" customHeight="1">
      <c r="A6" s="65">
        <f>IFERROR("  Design: "&amp;'📋 Product Manager'!H42&amp;"   ·   Hydro: "&amp;'📋 Product Manager'!I42&amp;" Kg/Cm²", "")</f>
        <v/>
      </c>
    </row>
    <row r="7" ht="16" customHeight="1">
      <c r="A7" s="66">
        <f>IFERROR("  MOC: "&amp;'📋 Product Manager'!D42, "")</f>
        <v/>
      </c>
    </row>
    <row r="8" ht="15" customHeight="1">
      <c r="A8" s="67" t="n">
        <v>1</v>
      </c>
      <c r="B8" s="13">
        <f>'📋 Product Manager'!B42</f>
        <v/>
      </c>
      <c r="C8" s="13">
        <f>'📋 Product Manager'!D42</f>
        <v/>
      </c>
      <c r="D8" s="14">
        <f>'📋 Product Manager'!E42</f>
        <v/>
      </c>
      <c r="E8" s="68">
        <f>IFERROR(IF('📋 Product Manager'!F42&lt;&gt;"",'📋 Product Manager'!F42,'📋 Product Manager'!G42),"")</f>
        <v/>
      </c>
      <c r="F8" s="69">
        <f>'📋 Product Manager'!G42</f>
        <v/>
      </c>
      <c r="G8" s="13">
        <f>'📋 Product Manager'!H42</f>
        <v/>
      </c>
      <c r="H8" s="68">
        <f>'📋 Product Manager'!I42</f>
        <v/>
      </c>
      <c r="I8" s="68">
        <f>'📋 Product Manager'!J42</f>
        <v/>
      </c>
      <c r="J8" s="70">
        <f>'📋 Product Manager'!K42</f>
        <v/>
      </c>
      <c r="K8" s="42">
        <f>'📋 Product Manager'!L42</f>
        <v/>
      </c>
      <c r="L8" s="71">
        <f>IFERROR(IF('📋 Product Manager'!N42="","",'📋 Product Manager'!N42),"")</f>
        <v/>
      </c>
    </row>
    <row r="9" ht="15" customHeight="1">
      <c r="A9" s="72" t="n">
        <v>2</v>
      </c>
      <c r="B9" s="17">
        <f>'📋 Product Manager'!B43</f>
        <v/>
      </c>
      <c r="C9" s="17">
        <f>'📋 Product Manager'!D43</f>
        <v/>
      </c>
      <c r="D9" s="18">
        <f>'📋 Product Manager'!E43</f>
        <v/>
      </c>
      <c r="E9" s="73">
        <f>IFERROR(IF('📋 Product Manager'!F43&lt;&gt;"",'📋 Product Manager'!F43,'📋 Product Manager'!G43),"")</f>
        <v/>
      </c>
      <c r="F9" s="74">
        <f>'📋 Product Manager'!G43</f>
        <v/>
      </c>
      <c r="G9" s="17">
        <f>'📋 Product Manager'!H43</f>
        <v/>
      </c>
      <c r="H9" s="73">
        <f>'📋 Product Manager'!I43</f>
        <v/>
      </c>
      <c r="I9" s="73">
        <f>'📋 Product Manager'!J43</f>
        <v/>
      </c>
      <c r="J9" s="70">
        <f>'📋 Product Manager'!K43</f>
        <v/>
      </c>
      <c r="K9" s="46">
        <f>'📋 Product Manager'!L43</f>
        <v/>
      </c>
      <c r="L9" s="75">
        <f>IFERROR(IF('📋 Product Manager'!N43="","",'📋 Product Manager'!N43),"")</f>
        <v/>
      </c>
    </row>
    <row r="10" ht="15" customHeight="1">
      <c r="A10" s="67" t="n">
        <v>3</v>
      </c>
      <c r="B10" s="13">
        <f>'📋 Product Manager'!B44</f>
        <v/>
      </c>
      <c r="C10" s="13">
        <f>'📋 Product Manager'!D44</f>
        <v/>
      </c>
      <c r="D10" s="14">
        <f>'📋 Product Manager'!E44</f>
        <v/>
      </c>
      <c r="E10" s="68">
        <f>IFERROR(IF('📋 Product Manager'!F44&lt;&gt;"",'📋 Product Manager'!F44,'📋 Product Manager'!G44),"")</f>
        <v/>
      </c>
      <c r="F10" s="69">
        <f>'📋 Product Manager'!G44</f>
        <v/>
      </c>
      <c r="G10" s="13">
        <f>'📋 Product Manager'!H44</f>
        <v/>
      </c>
      <c r="H10" s="68">
        <f>'📋 Product Manager'!I44</f>
        <v/>
      </c>
      <c r="I10" s="68">
        <f>'📋 Product Manager'!J44</f>
        <v/>
      </c>
      <c r="J10" s="70">
        <f>'📋 Product Manager'!K44</f>
        <v/>
      </c>
      <c r="K10" s="42">
        <f>'📋 Product Manager'!L44</f>
        <v/>
      </c>
      <c r="L10" s="71">
        <f>IFERROR(IF('📋 Product Manager'!N44="","",'📋 Product Manager'!N44),"")</f>
        <v/>
      </c>
    </row>
    <row r="11" ht="15" customHeight="1">
      <c r="A11" s="72" t="n">
        <v>4</v>
      </c>
      <c r="B11" s="17">
        <f>'📋 Product Manager'!B45</f>
        <v/>
      </c>
      <c r="C11" s="17">
        <f>'📋 Product Manager'!D45</f>
        <v/>
      </c>
      <c r="D11" s="18">
        <f>'📋 Product Manager'!E45</f>
        <v/>
      </c>
      <c r="E11" s="73">
        <f>IFERROR(IF('📋 Product Manager'!F45&lt;&gt;"",'📋 Product Manager'!F45,'📋 Product Manager'!G45),"")</f>
        <v/>
      </c>
      <c r="F11" s="74">
        <f>'📋 Product Manager'!G45</f>
        <v/>
      </c>
      <c r="G11" s="17">
        <f>'📋 Product Manager'!H45</f>
        <v/>
      </c>
      <c r="H11" s="73">
        <f>'📋 Product Manager'!I45</f>
        <v/>
      </c>
      <c r="I11" s="73">
        <f>'📋 Product Manager'!J45</f>
        <v/>
      </c>
      <c r="J11" s="70">
        <f>'📋 Product Manager'!K45</f>
        <v/>
      </c>
      <c r="K11" s="46">
        <f>'📋 Product Manager'!L45</f>
        <v/>
      </c>
      <c r="L11" s="75">
        <f>IFERROR(IF('📋 Product Manager'!N45="","",'📋 Product Manager'!N45),"")</f>
        <v/>
      </c>
    </row>
    <row r="12" ht="15" customHeight="1">
      <c r="A12" s="67" t="n">
        <v>5</v>
      </c>
      <c r="B12" s="13">
        <f>'📋 Product Manager'!B46</f>
        <v/>
      </c>
      <c r="C12" s="13">
        <f>'📋 Product Manager'!D46</f>
        <v/>
      </c>
      <c r="D12" s="14">
        <f>'📋 Product Manager'!E46</f>
        <v/>
      </c>
      <c r="E12" s="68">
        <f>IFERROR(IF('📋 Product Manager'!F46&lt;&gt;"",'📋 Product Manager'!F46,'📋 Product Manager'!G46),"")</f>
        <v/>
      </c>
      <c r="F12" s="69">
        <f>'📋 Product Manager'!G46</f>
        <v/>
      </c>
      <c r="G12" s="13">
        <f>'📋 Product Manager'!H46</f>
        <v/>
      </c>
      <c r="H12" s="68">
        <f>'📋 Product Manager'!I46</f>
        <v/>
      </c>
      <c r="I12" s="68">
        <f>'📋 Product Manager'!J46</f>
        <v/>
      </c>
      <c r="J12" s="70">
        <f>'📋 Product Manager'!K46</f>
        <v/>
      </c>
      <c r="K12" s="42">
        <f>'📋 Product Manager'!L46</f>
        <v/>
      </c>
      <c r="L12" s="71">
        <f>IFERROR(IF('📋 Product Manager'!N46="","",'📋 Product Manager'!N46),"")</f>
        <v/>
      </c>
    </row>
    <row r="13" ht="15" customHeight="1">
      <c r="A13" s="72" t="n">
        <v>6</v>
      </c>
      <c r="B13" s="17">
        <f>'📋 Product Manager'!B47</f>
        <v/>
      </c>
      <c r="C13" s="17">
        <f>'📋 Product Manager'!D47</f>
        <v/>
      </c>
      <c r="D13" s="18">
        <f>'📋 Product Manager'!E47</f>
        <v/>
      </c>
      <c r="E13" s="73">
        <f>IFERROR(IF('📋 Product Manager'!F47&lt;&gt;"",'📋 Product Manager'!F47,'📋 Product Manager'!G47),"")</f>
        <v/>
      </c>
      <c r="F13" s="74">
        <f>'📋 Product Manager'!G47</f>
        <v/>
      </c>
      <c r="G13" s="17">
        <f>'📋 Product Manager'!H47</f>
        <v/>
      </c>
      <c r="H13" s="73">
        <f>'📋 Product Manager'!I47</f>
        <v/>
      </c>
      <c r="I13" s="73">
        <f>'📋 Product Manager'!J47</f>
        <v/>
      </c>
      <c r="J13" s="70">
        <f>'📋 Product Manager'!K47</f>
        <v/>
      </c>
      <c r="K13" s="46">
        <f>'📋 Product Manager'!L47</f>
        <v/>
      </c>
      <c r="L13" s="75">
        <f>IFERROR(IF('📋 Product Manager'!N47="","",'📋 Product Manager'!N47),"")</f>
        <v/>
      </c>
    </row>
    <row r="14" ht="15" customHeight="1">
      <c r="A14" s="67" t="n">
        <v>7</v>
      </c>
      <c r="B14" s="13">
        <f>'📋 Product Manager'!B48</f>
        <v/>
      </c>
      <c r="C14" s="13">
        <f>'📋 Product Manager'!D48</f>
        <v/>
      </c>
      <c r="D14" s="14">
        <f>'📋 Product Manager'!E48</f>
        <v/>
      </c>
      <c r="E14" s="68">
        <f>IFERROR(IF('📋 Product Manager'!F48&lt;&gt;"",'📋 Product Manager'!F48,'📋 Product Manager'!G48),"")</f>
        <v/>
      </c>
      <c r="F14" s="69">
        <f>'📋 Product Manager'!G48</f>
        <v/>
      </c>
      <c r="G14" s="13">
        <f>'📋 Product Manager'!H48</f>
        <v/>
      </c>
      <c r="H14" s="68">
        <f>'📋 Product Manager'!I48</f>
        <v/>
      </c>
      <c r="I14" s="68">
        <f>'📋 Product Manager'!J48</f>
        <v/>
      </c>
      <c r="J14" s="70">
        <f>'📋 Product Manager'!K48</f>
        <v/>
      </c>
      <c r="K14" s="42">
        <f>'📋 Product Manager'!L48</f>
        <v/>
      </c>
      <c r="L14" s="71">
        <f>IFERROR(IF('📋 Product Manager'!N48="","",'📋 Product Manager'!N48),"")</f>
        <v/>
      </c>
    </row>
    <row r="15" ht="15" customHeight="1">
      <c r="A15" s="72" t="n">
        <v>8</v>
      </c>
      <c r="B15" s="17">
        <f>'📋 Product Manager'!B49</f>
        <v/>
      </c>
      <c r="C15" s="17">
        <f>'📋 Product Manager'!D49</f>
        <v/>
      </c>
      <c r="D15" s="18">
        <f>'📋 Product Manager'!E49</f>
        <v/>
      </c>
      <c r="E15" s="73">
        <f>IFERROR(IF('📋 Product Manager'!F49&lt;&gt;"",'📋 Product Manager'!F49,'📋 Product Manager'!G49),"")</f>
        <v/>
      </c>
      <c r="F15" s="74">
        <f>'📋 Product Manager'!G49</f>
        <v/>
      </c>
      <c r="G15" s="17">
        <f>'📋 Product Manager'!H49</f>
        <v/>
      </c>
      <c r="H15" s="73">
        <f>'📋 Product Manager'!I49</f>
        <v/>
      </c>
      <c r="I15" s="73">
        <f>'📋 Product Manager'!J49</f>
        <v/>
      </c>
      <c r="J15" s="70">
        <f>'📋 Product Manager'!K49</f>
        <v/>
      </c>
      <c r="K15" s="46">
        <f>'📋 Product Manager'!L49</f>
        <v/>
      </c>
      <c r="L15" s="75">
        <f>IFERROR(IF('📋 Product Manager'!N49="","",'📋 Product Manager'!N49),"")</f>
        <v/>
      </c>
    </row>
    <row r="16" ht="15" customHeight="1">
      <c r="A16" s="67" t="n">
        <v>9</v>
      </c>
      <c r="B16" s="13">
        <f>'📋 Product Manager'!B50</f>
        <v/>
      </c>
      <c r="C16" s="13">
        <f>'📋 Product Manager'!D50</f>
        <v/>
      </c>
      <c r="D16" s="14">
        <f>'📋 Product Manager'!E50</f>
        <v/>
      </c>
      <c r="E16" s="68">
        <f>IFERROR(IF('📋 Product Manager'!F50&lt;&gt;"",'📋 Product Manager'!F50,'📋 Product Manager'!G50),"")</f>
        <v/>
      </c>
      <c r="F16" s="69">
        <f>'📋 Product Manager'!G50</f>
        <v/>
      </c>
      <c r="G16" s="13">
        <f>'📋 Product Manager'!H50</f>
        <v/>
      </c>
      <c r="H16" s="68">
        <f>'📋 Product Manager'!I50</f>
        <v/>
      </c>
      <c r="I16" s="68">
        <f>'📋 Product Manager'!J50</f>
        <v/>
      </c>
      <c r="J16" s="70">
        <f>'📋 Product Manager'!K50</f>
        <v/>
      </c>
      <c r="K16" s="42">
        <f>'📋 Product Manager'!L50</f>
        <v/>
      </c>
      <c r="L16" s="71">
        <f>IFERROR(IF('📋 Product Manager'!N50="","",'📋 Product Manager'!N50),"")</f>
        <v/>
      </c>
    </row>
    <row r="17" ht="15" customHeight="1">
      <c r="A17" s="72" t="n">
        <v>10</v>
      </c>
      <c r="B17" s="17">
        <f>'📋 Product Manager'!B51</f>
        <v/>
      </c>
      <c r="C17" s="17">
        <f>'📋 Product Manager'!D51</f>
        <v/>
      </c>
      <c r="D17" s="18">
        <f>'📋 Product Manager'!E51</f>
        <v/>
      </c>
      <c r="E17" s="73">
        <f>IFERROR(IF('📋 Product Manager'!F51&lt;&gt;"",'📋 Product Manager'!F51,'📋 Product Manager'!G51),"")</f>
        <v/>
      </c>
      <c r="F17" s="74">
        <f>'📋 Product Manager'!G51</f>
        <v/>
      </c>
      <c r="G17" s="17">
        <f>'📋 Product Manager'!H51</f>
        <v/>
      </c>
      <c r="H17" s="73">
        <f>'📋 Product Manager'!I51</f>
        <v/>
      </c>
      <c r="I17" s="73">
        <f>'📋 Product Manager'!J51</f>
        <v/>
      </c>
      <c r="J17" s="70">
        <f>'📋 Product Manager'!K51</f>
        <v/>
      </c>
      <c r="K17" s="46">
        <f>'📋 Product Manager'!L51</f>
        <v/>
      </c>
      <c r="L17" s="75">
        <f>IFERROR(IF('📋 Product Manager'!N51="","",'📋 Product Manager'!N51),"")</f>
        <v/>
      </c>
    </row>
    <row r="19">
      <c r="A19" s="76" t="inlineStr">
        <is>
          <t>← Back to Product Manager</t>
        </is>
      </c>
      <c r="E19" s="76" t="inlineStr">
        <is>
          <t>← Price Summary</t>
        </is>
      </c>
    </row>
  </sheetData>
  <mergeCells count="7">
    <mergeCell ref="A2:L2"/>
    <mergeCell ref="A7:L7"/>
    <mergeCell ref="A1:L1"/>
    <mergeCell ref="A5:L5"/>
    <mergeCell ref="A6:L6"/>
    <mergeCell ref="A19:D19"/>
    <mergeCell ref="E19:H19"/>
  </mergeCells>
  <hyperlinks>
    <hyperlink xmlns:r="http://schemas.openxmlformats.org/officeDocument/2006/relationships" ref="A19" r:id="rId1"/>
    <hyperlink xmlns:r="http://schemas.openxmlformats.org/officeDocument/2006/relationships" ref="E19" r:id="rId2"/>
  </hyperlinks>
  <pageMargins left="0.75" right="0.75" top="1" bottom="1" header="0.5" footer="0.5"/>
  <pageSetup orientation="landscape" fitToWidth="1"/>
</worksheet>
</file>

<file path=xl/worksheets/sheet8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L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CHECK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80" t="inlineStr">
        <is>
          <t>Sr.</t>
        </is>
      </c>
      <c r="B4" s="80" t="inlineStr">
        <is>
          <t>Product Description</t>
        </is>
      </c>
      <c r="C4" s="80" t="inlineStr">
        <is>
          <t>MOC / Material</t>
        </is>
      </c>
      <c r="D4" s="80" t="inlineStr">
        <is>
          <t>Size</t>
        </is>
      </c>
      <c r="E4" s="80" t="inlineStr">
        <is>
          <t>Pressure Class</t>
        </is>
      </c>
      <c r="F4" s="80" t="inlineStr">
        <is>
          <t>End Connection</t>
        </is>
      </c>
      <c r="G4" s="80" t="inlineStr">
        <is>
          <t>Design Standard</t>
        </is>
      </c>
      <c r="H4" s="80" t="inlineStr">
        <is>
          <t>Hydro Test</t>
        </is>
      </c>
      <c r="I4" s="80" t="inlineStr">
        <is>
          <t>Unit</t>
        </is>
      </c>
      <c r="J4" s="80" t="inlineStr">
        <is>
          <t>Rate (INR)</t>
        </is>
      </c>
      <c r="K4" s="80" t="inlineStr">
        <is>
          <t>Status</t>
        </is>
      </c>
      <c r="L4" s="80" t="inlineStr">
        <is>
          <t>Remarks</t>
        </is>
      </c>
    </row>
    <row r="5" ht="22" customHeight="1">
      <c r="A5" s="64">
        <f>'📋 Product Manager'!B52</f>
        <v/>
      </c>
    </row>
    <row r="6" ht="14" customHeight="1">
      <c r="A6" s="65">
        <f>IFERROR("  Design: "&amp;'📋 Product Manager'!H52&amp;"   ·   Hydro: "&amp;'📋 Product Manager'!I52&amp;" Kg/Cm²", "")</f>
        <v/>
      </c>
    </row>
    <row r="7" ht="16" customHeight="1">
      <c r="A7" s="66">
        <f>IFERROR("  MOC: "&amp;'📋 Product Manager'!D52, "")</f>
        <v/>
      </c>
    </row>
    <row r="8" ht="15" customHeight="1">
      <c r="A8" s="67" t="n">
        <v>1</v>
      </c>
      <c r="B8" s="13">
        <f>'📋 Product Manager'!B52</f>
        <v/>
      </c>
      <c r="C8" s="13">
        <f>'📋 Product Manager'!D52</f>
        <v/>
      </c>
      <c r="D8" s="14">
        <f>'📋 Product Manager'!E52</f>
        <v/>
      </c>
      <c r="E8" s="68">
        <f>IFERROR(IF('📋 Product Manager'!F52&lt;&gt;"",'📋 Product Manager'!F52,'📋 Product Manager'!G52),"")</f>
        <v/>
      </c>
      <c r="F8" s="69">
        <f>'📋 Product Manager'!G52</f>
        <v/>
      </c>
      <c r="G8" s="13">
        <f>'📋 Product Manager'!H52</f>
        <v/>
      </c>
      <c r="H8" s="68">
        <f>'📋 Product Manager'!I52</f>
        <v/>
      </c>
      <c r="I8" s="68">
        <f>'📋 Product Manager'!J52</f>
        <v/>
      </c>
      <c r="J8" s="70">
        <f>'📋 Product Manager'!K52</f>
        <v/>
      </c>
      <c r="K8" s="42">
        <f>'📋 Product Manager'!L52</f>
        <v/>
      </c>
      <c r="L8" s="71">
        <f>IFERROR(IF('📋 Product Manager'!N52="","",'📋 Product Manager'!N52),"")</f>
        <v/>
      </c>
    </row>
    <row r="9" ht="15" customHeight="1">
      <c r="A9" s="72" t="n">
        <v>2</v>
      </c>
      <c r="B9" s="17">
        <f>'📋 Product Manager'!B53</f>
        <v/>
      </c>
      <c r="C9" s="17">
        <f>'📋 Product Manager'!D53</f>
        <v/>
      </c>
      <c r="D9" s="18">
        <f>'📋 Product Manager'!E53</f>
        <v/>
      </c>
      <c r="E9" s="73">
        <f>IFERROR(IF('📋 Product Manager'!F53&lt;&gt;"",'📋 Product Manager'!F53,'📋 Product Manager'!G53),"")</f>
        <v/>
      </c>
      <c r="F9" s="74">
        <f>'📋 Product Manager'!G53</f>
        <v/>
      </c>
      <c r="G9" s="17">
        <f>'📋 Product Manager'!H53</f>
        <v/>
      </c>
      <c r="H9" s="73">
        <f>'📋 Product Manager'!I53</f>
        <v/>
      </c>
      <c r="I9" s="73">
        <f>'📋 Product Manager'!J53</f>
        <v/>
      </c>
      <c r="J9" s="70">
        <f>'📋 Product Manager'!K53</f>
        <v/>
      </c>
      <c r="K9" s="46">
        <f>'📋 Product Manager'!L53</f>
        <v/>
      </c>
      <c r="L9" s="75">
        <f>IFERROR(IF('📋 Product Manager'!N53="","",'📋 Product Manager'!N53),"")</f>
        <v/>
      </c>
    </row>
    <row r="10" ht="15" customHeight="1">
      <c r="A10" s="67" t="n">
        <v>3</v>
      </c>
      <c r="B10" s="13">
        <f>'📋 Product Manager'!B54</f>
        <v/>
      </c>
      <c r="C10" s="13">
        <f>'📋 Product Manager'!D54</f>
        <v/>
      </c>
      <c r="D10" s="14">
        <f>'📋 Product Manager'!E54</f>
        <v/>
      </c>
      <c r="E10" s="68">
        <f>IFERROR(IF('📋 Product Manager'!F54&lt;&gt;"",'📋 Product Manager'!F54,'📋 Product Manager'!G54),"")</f>
        <v/>
      </c>
      <c r="F10" s="69">
        <f>'📋 Product Manager'!G54</f>
        <v/>
      </c>
      <c r="G10" s="13">
        <f>'📋 Product Manager'!H54</f>
        <v/>
      </c>
      <c r="H10" s="68">
        <f>'📋 Product Manager'!I54</f>
        <v/>
      </c>
      <c r="I10" s="68">
        <f>'📋 Product Manager'!J54</f>
        <v/>
      </c>
      <c r="J10" s="70">
        <f>'📋 Product Manager'!K54</f>
        <v/>
      </c>
      <c r="K10" s="42">
        <f>'📋 Product Manager'!L54</f>
        <v/>
      </c>
      <c r="L10" s="71">
        <f>IFERROR(IF('📋 Product Manager'!N54="","",'📋 Product Manager'!N54),"")</f>
        <v/>
      </c>
    </row>
    <row r="11" ht="15" customHeight="1">
      <c r="A11" s="72" t="n">
        <v>4</v>
      </c>
      <c r="B11" s="17">
        <f>'📋 Product Manager'!B55</f>
        <v/>
      </c>
      <c r="C11" s="17">
        <f>'📋 Product Manager'!D55</f>
        <v/>
      </c>
      <c r="D11" s="18">
        <f>'📋 Product Manager'!E55</f>
        <v/>
      </c>
      <c r="E11" s="73">
        <f>IFERROR(IF('📋 Product Manager'!F55&lt;&gt;"",'📋 Product Manager'!F55,'📋 Product Manager'!G55),"")</f>
        <v/>
      </c>
      <c r="F11" s="74">
        <f>'📋 Product Manager'!G55</f>
        <v/>
      </c>
      <c r="G11" s="17">
        <f>'📋 Product Manager'!H55</f>
        <v/>
      </c>
      <c r="H11" s="73">
        <f>'📋 Product Manager'!I55</f>
        <v/>
      </c>
      <c r="I11" s="73">
        <f>'📋 Product Manager'!J55</f>
        <v/>
      </c>
      <c r="J11" s="70">
        <f>'📋 Product Manager'!K55</f>
        <v/>
      </c>
      <c r="K11" s="46">
        <f>'📋 Product Manager'!L55</f>
        <v/>
      </c>
      <c r="L11" s="75">
        <f>IFERROR(IF('📋 Product Manager'!N55="","",'📋 Product Manager'!N55),"")</f>
        <v/>
      </c>
    </row>
    <row r="12" ht="15" customHeight="1">
      <c r="A12" s="67" t="n">
        <v>5</v>
      </c>
      <c r="B12" s="13">
        <f>'📋 Product Manager'!B56</f>
        <v/>
      </c>
      <c r="C12" s="13">
        <f>'📋 Product Manager'!D56</f>
        <v/>
      </c>
      <c r="D12" s="14">
        <f>'📋 Product Manager'!E56</f>
        <v/>
      </c>
      <c r="E12" s="68">
        <f>IFERROR(IF('📋 Product Manager'!F56&lt;&gt;"",'📋 Product Manager'!F56,'📋 Product Manager'!G56),"")</f>
        <v/>
      </c>
      <c r="F12" s="69">
        <f>'📋 Product Manager'!G56</f>
        <v/>
      </c>
      <c r="G12" s="13">
        <f>'📋 Product Manager'!H56</f>
        <v/>
      </c>
      <c r="H12" s="68">
        <f>'📋 Product Manager'!I56</f>
        <v/>
      </c>
      <c r="I12" s="68">
        <f>'📋 Product Manager'!J56</f>
        <v/>
      </c>
      <c r="J12" s="70">
        <f>'📋 Product Manager'!K56</f>
        <v/>
      </c>
      <c r="K12" s="42">
        <f>'📋 Product Manager'!L56</f>
        <v/>
      </c>
      <c r="L12" s="71">
        <f>IFERROR(IF('📋 Product Manager'!N56="","",'📋 Product Manager'!N56),"")</f>
        <v/>
      </c>
    </row>
    <row r="13" ht="15" customHeight="1">
      <c r="A13" s="72" t="n">
        <v>6</v>
      </c>
      <c r="B13" s="17">
        <f>'📋 Product Manager'!B57</f>
        <v/>
      </c>
      <c r="C13" s="17">
        <f>'📋 Product Manager'!D57</f>
        <v/>
      </c>
      <c r="D13" s="18">
        <f>'📋 Product Manager'!E57</f>
        <v/>
      </c>
      <c r="E13" s="73">
        <f>IFERROR(IF('📋 Product Manager'!F57&lt;&gt;"",'📋 Product Manager'!F57,'📋 Product Manager'!G57),"")</f>
        <v/>
      </c>
      <c r="F13" s="74">
        <f>'📋 Product Manager'!G57</f>
        <v/>
      </c>
      <c r="G13" s="17">
        <f>'📋 Product Manager'!H57</f>
        <v/>
      </c>
      <c r="H13" s="73">
        <f>'📋 Product Manager'!I57</f>
        <v/>
      </c>
      <c r="I13" s="73">
        <f>'📋 Product Manager'!J57</f>
        <v/>
      </c>
      <c r="J13" s="70">
        <f>'📋 Product Manager'!K57</f>
        <v/>
      </c>
      <c r="K13" s="46">
        <f>'📋 Product Manager'!L57</f>
        <v/>
      </c>
      <c r="L13" s="75">
        <f>IFERROR(IF('📋 Product Manager'!N57="","",'📋 Product Manager'!N57),"")</f>
        <v/>
      </c>
    </row>
    <row r="14" ht="15" customHeight="1">
      <c r="A14" s="67" t="n">
        <v>7</v>
      </c>
      <c r="B14" s="13">
        <f>'📋 Product Manager'!B58</f>
        <v/>
      </c>
      <c r="C14" s="13">
        <f>'📋 Product Manager'!D58</f>
        <v/>
      </c>
      <c r="D14" s="14">
        <f>'📋 Product Manager'!E58</f>
        <v/>
      </c>
      <c r="E14" s="68">
        <f>IFERROR(IF('📋 Product Manager'!F58&lt;&gt;"",'📋 Product Manager'!F58,'📋 Product Manager'!G58),"")</f>
        <v/>
      </c>
      <c r="F14" s="69">
        <f>'📋 Product Manager'!G58</f>
        <v/>
      </c>
      <c r="G14" s="13">
        <f>'📋 Product Manager'!H58</f>
        <v/>
      </c>
      <c r="H14" s="68">
        <f>'📋 Product Manager'!I58</f>
        <v/>
      </c>
      <c r="I14" s="68">
        <f>'📋 Product Manager'!J58</f>
        <v/>
      </c>
      <c r="J14" s="70">
        <f>'📋 Product Manager'!K58</f>
        <v/>
      </c>
      <c r="K14" s="42">
        <f>'📋 Product Manager'!L58</f>
        <v/>
      </c>
      <c r="L14" s="71">
        <f>IFERROR(IF('📋 Product Manager'!N58="","",'📋 Product Manager'!N58),"")</f>
        <v/>
      </c>
    </row>
    <row r="15" ht="15" customHeight="1">
      <c r="A15" s="72" t="n">
        <v>8</v>
      </c>
      <c r="B15" s="17">
        <f>'📋 Product Manager'!B59</f>
        <v/>
      </c>
      <c r="C15" s="17">
        <f>'📋 Product Manager'!D59</f>
        <v/>
      </c>
      <c r="D15" s="18">
        <f>'📋 Product Manager'!E59</f>
        <v/>
      </c>
      <c r="E15" s="73">
        <f>IFERROR(IF('📋 Product Manager'!F59&lt;&gt;"",'📋 Product Manager'!F59,'📋 Product Manager'!G59),"")</f>
        <v/>
      </c>
      <c r="F15" s="74">
        <f>'📋 Product Manager'!G59</f>
        <v/>
      </c>
      <c r="G15" s="17">
        <f>'📋 Product Manager'!H59</f>
        <v/>
      </c>
      <c r="H15" s="73">
        <f>'📋 Product Manager'!I59</f>
        <v/>
      </c>
      <c r="I15" s="73">
        <f>'📋 Product Manager'!J59</f>
        <v/>
      </c>
      <c r="J15" s="70">
        <f>'📋 Product Manager'!K59</f>
        <v/>
      </c>
      <c r="K15" s="46">
        <f>'📋 Product Manager'!L59</f>
        <v/>
      </c>
      <c r="L15" s="75">
        <f>IFERROR(IF('📋 Product Manager'!N59="","",'📋 Product Manager'!N59),"")</f>
        <v/>
      </c>
    </row>
    <row r="16" ht="15" customHeight="1">
      <c r="A16" s="67" t="n">
        <v>9</v>
      </c>
      <c r="B16" s="13">
        <f>'📋 Product Manager'!B60</f>
        <v/>
      </c>
      <c r="C16" s="13">
        <f>'📋 Product Manager'!D60</f>
        <v/>
      </c>
      <c r="D16" s="14">
        <f>'📋 Product Manager'!E60</f>
        <v/>
      </c>
      <c r="E16" s="68">
        <f>IFERROR(IF('📋 Product Manager'!F60&lt;&gt;"",'📋 Product Manager'!F60,'📋 Product Manager'!G60),"")</f>
        <v/>
      </c>
      <c r="F16" s="69">
        <f>'📋 Product Manager'!G60</f>
        <v/>
      </c>
      <c r="G16" s="13">
        <f>'📋 Product Manager'!H60</f>
        <v/>
      </c>
      <c r="H16" s="68">
        <f>'📋 Product Manager'!I60</f>
        <v/>
      </c>
      <c r="I16" s="68">
        <f>'📋 Product Manager'!J60</f>
        <v/>
      </c>
      <c r="J16" s="70">
        <f>'📋 Product Manager'!K60</f>
        <v/>
      </c>
      <c r="K16" s="42">
        <f>'📋 Product Manager'!L60</f>
        <v/>
      </c>
      <c r="L16" s="71">
        <f>IFERROR(IF('📋 Product Manager'!N60="","",'📋 Product Manager'!N60),"")</f>
        <v/>
      </c>
    </row>
    <row r="17" ht="15" customHeight="1">
      <c r="A17" s="72" t="n">
        <v>10</v>
      </c>
      <c r="B17" s="17">
        <f>'📋 Product Manager'!B61</f>
        <v/>
      </c>
      <c r="C17" s="17">
        <f>'📋 Product Manager'!D61</f>
        <v/>
      </c>
      <c r="D17" s="18">
        <f>'📋 Product Manager'!E61</f>
        <v/>
      </c>
      <c r="E17" s="73">
        <f>IFERROR(IF('📋 Product Manager'!F61&lt;&gt;"",'📋 Product Manager'!F61,'📋 Product Manager'!G61),"")</f>
        <v/>
      </c>
      <c r="F17" s="74">
        <f>'📋 Product Manager'!G61</f>
        <v/>
      </c>
      <c r="G17" s="17">
        <f>'📋 Product Manager'!H61</f>
        <v/>
      </c>
      <c r="H17" s="73">
        <f>'📋 Product Manager'!I61</f>
        <v/>
      </c>
      <c r="I17" s="73">
        <f>'📋 Product Manager'!J61</f>
        <v/>
      </c>
      <c r="J17" s="70">
        <f>'📋 Product Manager'!K61</f>
        <v/>
      </c>
      <c r="K17" s="46">
        <f>'📋 Product Manager'!L61</f>
        <v/>
      </c>
      <c r="L17" s="75">
        <f>IFERROR(IF('📋 Product Manager'!N61="","",'📋 Product Manager'!N61),"")</f>
        <v/>
      </c>
    </row>
    <row r="18" ht="22" customHeight="1">
      <c r="A18" s="64">
        <f>'📋 Product Manager'!B135</f>
        <v/>
      </c>
    </row>
    <row r="19" ht="14" customHeight="1">
      <c r="A19" s="65">
        <f>IFERROR("  Design: "&amp;'📋 Product Manager'!H135&amp;"   ·   Hydro: "&amp;'📋 Product Manager'!I135&amp;" Kg/Cm²", "")</f>
        <v/>
      </c>
    </row>
    <row r="20" ht="16" customHeight="1">
      <c r="A20" s="66">
        <f>IFERROR("  MOC: "&amp;'📋 Product Manager'!D135, "")</f>
        <v/>
      </c>
    </row>
    <row r="21" ht="15" customHeight="1">
      <c r="A21" s="67" t="n">
        <v>11</v>
      </c>
      <c r="B21" s="13">
        <f>'📋 Product Manager'!B135</f>
        <v/>
      </c>
      <c r="C21" s="13">
        <f>'📋 Product Manager'!D135</f>
        <v/>
      </c>
      <c r="D21" s="14">
        <f>'📋 Product Manager'!E135</f>
        <v/>
      </c>
      <c r="E21" s="68">
        <f>IFERROR(IF('📋 Product Manager'!F135&lt;&gt;"",'📋 Product Manager'!F135,'📋 Product Manager'!G135),"")</f>
        <v/>
      </c>
      <c r="F21" s="69">
        <f>'📋 Product Manager'!G135</f>
        <v/>
      </c>
      <c r="G21" s="13">
        <f>'📋 Product Manager'!H135</f>
        <v/>
      </c>
      <c r="H21" s="68">
        <f>'📋 Product Manager'!I135</f>
        <v/>
      </c>
      <c r="I21" s="68">
        <f>'📋 Product Manager'!J135</f>
        <v/>
      </c>
      <c r="J21" s="70">
        <f>'📋 Product Manager'!K135</f>
        <v/>
      </c>
      <c r="K21" s="42">
        <f>'📋 Product Manager'!L135</f>
        <v/>
      </c>
      <c r="L21" s="71">
        <f>IFERROR(IF('📋 Product Manager'!N135="","",'📋 Product Manager'!N135),"")</f>
        <v/>
      </c>
    </row>
    <row r="22" ht="15" customHeight="1">
      <c r="A22" s="72" t="n">
        <v>12</v>
      </c>
      <c r="B22" s="17">
        <f>'📋 Product Manager'!B136</f>
        <v/>
      </c>
      <c r="C22" s="17">
        <f>'📋 Product Manager'!D136</f>
        <v/>
      </c>
      <c r="D22" s="18">
        <f>'📋 Product Manager'!E136</f>
        <v/>
      </c>
      <c r="E22" s="73">
        <f>IFERROR(IF('📋 Product Manager'!F136&lt;&gt;"",'📋 Product Manager'!F136,'📋 Product Manager'!G136),"")</f>
        <v/>
      </c>
      <c r="F22" s="74">
        <f>'📋 Product Manager'!G136</f>
        <v/>
      </c>
      <c r="G22" s="17">
        <f>'📋 Product Manager'!H136</f>
        <v/>
      </c>
      <c r="H22" s="73">
        <f>'📋 Product Manager'!I136</f>
        <v/>
      </c>
      <c r="I22" s="73">
        <f>'📋 Product Manager'!J136</f>
        <v/>
      </c>
      <c r="J22" s="70">
        <f>'📋 Product Manager'!K136</f>
        <v/>
      </c>
      <c r="K22" s="46">
        <f>'📋 Product Manager'!L136</f>
        <v/>
      </c>
      <c r="L22" s="75">
        <f>IFERROR(IF('📋 Product Manager'!N136="","",'📋 Product Manager'!N136),"")</f>
        <v/>
      </c>
    </row>
    <row r="23" ht="15" customHeight="1">
      <c r="A23" s="67" t="n">
        <v>13</v>
      </c>
      <c r="B23" s="13">
        <f>'📋 Product Manager'!B137</f>
        <v/>
      </c>
      <c r="C23" s="13">
        <f>'📋 Product Manager'!D137</f>
        <v/>
      </c>
      <c r="D23" s="14">
        <f>'📋 Product Manager'!E137</f>
        <v/>
      </c>
      <c r="E23" s="68">
        <f>IFERROR(IF('📋 Product Manager'!F137&lt;&gt;"",'📋 Product Manager'!F137,'📋 Product Manager'!G137),"")</f>
        <v/>
      </c>
      <c r="F23" s="69">
        <f>'📋 Product Manager'!G137</f>
        <v/>
      </c>
      <c r="G23" s="13">
        <f>'📋 Product Manager'!H137</f>
        <v/>
      </c>
      <c r="H23" s="68">
        <f>'📋 Product Manager'!I137</f>
        <v/>
      </c>
      <c r="I23" s="68">
        <f>'📋 Product Manager'!J137</f>
        <v/>
      </c>
      <c r="J23" s="70">
        <f>'📋 Product Manager'!K137</f>
        <v/>
      </c>
      <c r="K23" s="42">
        <f>'📋 Product Manager'!L137</f>
        <v/>
      </c>
      <c r="L23" s="71">
        <f>IFERROR(IF('📋 Product Manager'!N137="","",'📋 Product Manager'!N137),"")</f>
        <v/>
      </c>
    </row>
    <row r="24" ht="15" customHeight="1">
      <c r="A24" s="72" t="n">
        <v>14</v>
      </c>
      <c r="B24" s="17">
        <f>'📋 Product Manager'!B138</f>
        <v/>
      </c>
      <c r="C24" s="17">
        <f>'📋 Product Manager'!D138</f>
        <v/>
      </c>
      <c r="D24" s="18">
        <f>'📋 Product Manager'!E138</f>
        <v/>
      </c>
      <c r="E24" s="73">
        <f>IFERROR(IF('📋 Product Manager'!F138&lt;&gt;"",'📋 Product Manager'!F138,'📋 Product Manager'!G138),"")</f>
        <v/>
      </c>
      <c r="F24" s="74">
        <f>'📋 Product Manager'!G138</f>
        <v/>
      </c>
      <c r="G24" s="17">
        <f>'📋 Product Manager'!H138</f>
        <v/>
      </c>
      <c r="H24" s="73">
        <f>'📋 Product Manager'!I138</f>
        <v/>
      </c>
      <c r="I24" s="73">
        <f>'📋 Product Manager'!J138</f>
        <v/>
      </c>
      <c r="J24" s="70">
        <f>'📋 Product Manager'!K138</f>
        <v/>
      </c>
      <c r="K24" s="46">
        <f>'📋 Product Manager'!L138</f>
        <v/>
      </c>
      <c r="L24" s="75">
        <f>IFERROR(IF('📋 Product Manager'!N138="","",'📋 Product Manager'!N138),"")</f>
        <v/>
      </c>
    </row>
    <row r="25" ht="15" customHeight="1">
      <c r="A25" s="67" t="n">
        <v>15</v>
      </c>
      <c r="B25" s="13">
        <f>'📋 Product Manager'!B139</f>
        <v/>
      </c>
      <c r="C25" s="13">
        <f>'📋 Product Manager'!D139</f>
        <v/>
      </c>
      <c r="D25" s="14">
        <f>'📋 Product Manager'!E139</f>
        <v/>
      </c>
      <c r="E25" s="68">
        <f>IFERROR(IF('📋 Product Manager'!F139&lt;&gt;"",'📋 Product Manager'!F139,'📋 Product Manager'!G139),"")</f>
        <v/>
      </c>
      <c r="F25" s="69">
        <f>'📋 Product Manager'!G139</f>
        <v/>
      </c>
      <c r="G25" s="13">
        <f>'📋 Product Manager'!H139</f>
        <v/>
      </c>
      <c r="H25" s="68">
        <f>'📋 Product Manager'!I139</f>
        <v/>
      </c>
      <c r="I25" s="68">
        <f>'📋 Product Manager'!J139</f>
        <v/>
      </c>
      <c r="J25" s="70">
        <f>'📋 Product Manager'!K139</f>
        <v/>
      </c>
      <c r="K25" s="42">
        <f>'📋 Product Manager'!L139</f>
        <v/>
      </c>
      <c r="L25" s="71">
        <f>IFERROR(IF('📋 Product Manager'!N139="","",'📋 Product Manager'!N139),"")</f>
        <v/>
      </c>
    </row>
    <row r="26" ht="15" customHeight="1">
      <c r="A26" s="72" t="n">
        <v>16</v>
      </c>
      <c r="B26" s="17">
        <f>'📋 Product Manager'!B140</f>
        <v/>
      </c>
      <c r="C26" s="17">
        <f>'📋 Product Manager'!D140</f>
        <v/>
      </c>
      <c r="D26" s="18">
        <f>'📋 Product Manager'!E140</f>
        <v/>
      </c>
      <c r="E26" s="73">
        <f>IFERROR(IF('📋 Product Manager'!F140&lt;&gt;"",'📋 Product Manager'!F140,'📋 Product Manager'!G140),"")</f>
        <v/>
      </c>
      <c r="F26" s="74">
        <f>'📋 Product Manager'!G140</f>
        <v/>
      </c>
      <c r="G26" s="17">
        <f>'📋 Product Manager'!H140</f>
        <v/>
      </c>
      <c r="H26" s="73">
        <f>'📋 Product Manager'!I140</f>
        <v/>
      </c>
      <c r="I26" s="73">
        <f>'📋 Product Manager'!J140</f>
        <v/>
      </c>
      <c r="J26" s="70">
        <f>'📋 Product Manager'!K140</f>
        <v/>
      </c>
      <c r="K26" s="46">
        <f>'📋 Product Manager'!L140</f>
        <v/>
      </c>
      <c r="L26" s="75">
        <f>IFERROR(IF('📋 Product Manager'!N140="","",'📋 Product Manager'!N140),"")</f>
        <v/>
      </c>
    </row>
    <row r="27" ht="15" customHeight="1">
      <c r="A27" s="67" t="n">
        <v>17</v>
      </c>
      <c r="B27" s="13">
        <f>'📋 Product Manager'!B141</f>
        <v/>
      </c>
      <c r="C27" s="13">
        <f>'📋 Product Manager'!D141</f>
        <v/>
      </c>
      <c r="D27" s="14">
        <f>'📋 Product Manager'!E141</f>
        <v/>
      </c>
      <c r="E27" s="68">
        <f>IFERROR(IF('📋 Product Manager'!F141&lt;&gt;"",'📋 Product Manager'!F141,'📋 Product Manager'!G141),"")</f>
        <v/>
      </c>
      <c r="F27" s="69">
        <f>'📋 Product Manager'!G141</f>
        <v/>
      </c>
      <c r="G27" s="13">
        <f>'📋 Product Manager'!H141</f>
        <v/>
      </c>
      <c r="H27" s="68">
        <f>'📋 Product Manager'!I141</f>
        <v/>
      </c>
      <c r="I27" s="68">
        <f>'📋 Product Manager'!J141</f>
        <v/>
      </c>
      <c r="J27" s="70">
        <f>'📋 Product Manager'!K141</f>
        <v/>
      </c>
      <c r="K27" s="42">
        <f>'📋 Product Manager'!L141</f>
        <v/>
      </c>
      <c r="L27" s="71">
        <f>IFERROR(IF('📋 Product Manager'!N141="","",'📋 Product Manager'!N141),"")</f>
        <v/>
      </c>
    </row>
    <row r="28" ht="15" customHeight="1">
      <c r="A28" s="72" t="n">
        <v>18</v>
      </c>
      <c r="B28" s="17">
        <f>'📋 Product Manager'!B142</f>
        <v/>
      </c>
      <c r="C28" s="17">
        <f>'📋 Product Manager'!D142</f>
        <v/>
      </c>
      <c r="D28" s="18">
        <f>'📋 Product Manager'!E142</f>
        <v/>
      </c>
      <c r="E28" s="73">
        <f>IFERROR(IF('📋 Product Manager'!F142&lt;&gt;"",'📋 Product Manager'!F142,'📋 Product Manager'!G142),"")</f>
        <v/>
      </c>
      <c r="F28" s="74">
        <f>'📋 Product Manager'!G142</f>
        <v/>
      </c>
      <c r="G28" s="17">
        <f>'📋 Product Manager'!H142</f>
        <v/>
      </c>
      <c r="H28" s="73">
        <f>'📋 Product Manager'!I142</f>
        <v/>
      </c>
      <c r="I28" s="73">
        <f>'📋 Product Manager'!J142</f>
        <v/>
      </c>
      <c r="J28" s="70">
        <f>'📋 Product Manager'!K142</f>
        <v/>
      </c>
      <c r="K28" s="46">
        <f>'📋 Product Manager'!L142</f>
        <v/>
      </c>
      <c r="L28" s="75">
        <f>IFERROR(IF('📋 Product Manager'!N142="","",'📋 Product Manager'!N142),"")</f>
        <v/>
      </c>
    </row>
    <row r="29" ht="15" customHeight="1">
      <c r="A29" s="67" t="n">
        <v>19</v>
      </c>
      <c r="B29" s="13">
        <f>'📋 Product Manager'!B143</f>
        <v/>
      </c>
      <c r="C29" s="13">
        <f>'📋 Product Manager'!D143</f>
        <v/>
      </c>
      <c r="D29" s="14">
        <f>'📋 Product Manager'!E143</f>
        <v/>
      </c>
      <c r="E29" s="68">
        <f>IFERROR(IF('📋 Product Manager'!F143&lt;&gt;"",'📋 Product Manager'!F143,'📋 Product Manager'!G143),"")</f>
        <v/>
      </c>
      <c r="F29" s="69">
        <f>'📋 Product Manager'!G143</f>
        <v/>
      </c>
      <c r="G29" s="13">
        <f>'📋 Product Manager'!H143</f>
        <v/>
      </c>
      <c r="H29" s="68">
        <f>'📋 Product Manager'!I143</f>
        <v/>
      </c>
      <c r="I29" s="68">
        <f>'📋 Product Manager'!J143</f>
        <v/>
      </c>
      <c r="J29" s="70">
        <f>'📋 Product Manager'!K143</f>
        <v/>
      </c>
      <c r="K29" s="42">
        <f>'📋 Product Manager'!L143</f>
        <v/>
      </c>
      <c r="L29" s="71">
        <f>IFERROR(IF('📋 Product Manager'!N143="","",'📋 Product Manager'!N143),"")</f>
        <v/>
      </c>
    </row>
    <row r="30" ht="15" customHeight="1">
      <c r="A30" s="72" t="n">
        <v>20</v>
      </c>
      <c r="B30" s="17">
        <f>'📋 Product Manager'!B144</f>
        <v/>
      </c>
      <c r="C30" s="17">
        <f>'📋 Product Manager'!D144</f>
        <v/>
      </c>
      <c r="D30" s="18">
        <f>'📋 Product Manager'!E144</f>
        <v/>
      </c>
      <c r="E30" s="73">
        <f>IFERROR(IF('📋 Product Manager'!F144&lt;&gt;"",'📋 Product Manager'!F144,'📋 Product Manager'!G144),"")</f>
        <v/>
      </c>
      <c r="F30" s="74">
        <f>'📋 Product Manager'!G144</f>
        <v/>
      </c>
      <c r="G30" s="17">
        <f>'📋 Product Manager'!H144</f>
        <v/>
      </c>
      <c r="H30" s="73">
        <f>'📋 Product Manager'!I144</f>
        <v/>
      </c>
      <c r="I30" s="73">
        <f>'📋 Product Manager'!J144</f>
        <v/>
      </c>
      <c r="J30" s="70">
        <f>'📋 Product Manager'!K144</f>
        <v/>
      </c>
      <c r="K30" s="46">
        <f>'📋 Product Manager'!L144</f>
        <v/>
      </c>
      <c r="L30" s="75">
        <f>IFERROR(IF('📋 Product Manager'!N144="","",'📋 Product Manager'!N144),"")</f>
        <v/>
      </c>
    </row>
    <row r="31" ht="15" customHeight="1">
      <c r="A31" s="67" t="n">
        <v>21</v>
      </c>
      <c r="B31" s="13">
        <f>'📋 Product Manager'!B145</f>
        <v/>
      </c>
      <c r="C31" s="13">
        <f>'📋 Product Manager'!D145</f>
        <v/>
      </c>
      <c r="D31" s="14">
        <f>'📋 Product Manager'!E145</f>
        <v/>
      </c>
      <c r="E31" s="68">
        <f>IFERROR(IF('📋 Product Manager'!F145&lt;&gt;"",'📋 Product Manager'!F145,'📋 Product Manager'!G145),"")</f>
        <v/>
      </c>
      <c r="F31" s="69">
        <f>'📋 Product Manager'!G145</f>
        <v/>
      </c>
      <c r="G31" s="13">
        <f>'📋 Product Manager'!H145</f>
        <v/>
      </c>
      <c r="H31" s="68">
        <f>'📋 Product Manager'!I145</f>
        <v/>
      </c>
      <c r="I31" s="68">
        <f>'📋 Product Manager'!J145</f>
        <v/>
      </c>
      <c r="J31" s="70">
        <f>'📋 Product Manager'!K145</f>
        <v/>
      </c>
      <c r="K31" s="42">
        <f>'📋 Product Manager'!L145</f>
        <v/>
      </c>
      <c r="L31" s="71">
        <f>IFERROR(IF('📋 Product Manager'!N145="","",'📋 Product Manager'!N145),"")</f>
        <v/>
      </c>
    </row>
    <row r="33">
      <c r="A33" s="76" t="inlineStr">
        <is>
          <t>← Back to Product Manager</t>
        </is>
      </c>
      <c r="E33" s="76" t="inlineStr">
        <is>
          <t>← Price Summary</t>
        </is>
      </c>
    </row>
  </sheetData>
  <mergeCells count="10">
    <mergeCell ref="A20:L20"/>
    <mergeCell ref="A2:L2"/>
    <mergeCell ref="A7:L7"/>
    <mergeCell ref="A19:L19"/>
    <mergeCell ref="A1:L1"/>
    <mergeCell ref="A5:L5"/>
    <mergeCell ref="A6:L6"/>
    <mergeCell ref="A18:L18"/>
    <mergeCell ref="A33:D33"/>
    <mergeCell ref="E33:H33"/>
  </mergeCells>
  <hyperlinks>
    <hyperlink xmlns:r="http://schemas.openxmlformats.org/officeDocument/2006/relationships" ref="A33" r:id="rId1"/>
    <hyperlink xmlns:r="http://schemas.openxmlformats.org/officeDocument/2006/relationships" ref="E33" r:id="rId2"/>
  </hyperlinks>
  <pageMargins left="0.75" right="0.75" top="1" bottom="1" header="0.5" footer="0.5"/>
  <pageSetup orientation="landscape" fitToWidth="1"/>
</worksheet>
</file>

<file path=xl/worksheets/sheet9.xml><?xml version="1.0" encoding="utf-8"?>
<worksheet xmlns="http://schemas.openxmlformats.org/spreadsheetml/2006/main">
  <sheetPr>
    <tabColor rgb="00AD1457"/>
    <outlinePr summaryBelow="1" summaryRight="1"/>
    <pageSetUpPr fitToPage="1"/>
  </sheetPr>
  <dimension ref="A1:L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SAFETY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81" t="inlineStr">
        <is>
          <t>Sr.</t>
        </is>
      </c>
      <c r="B4" s="81" t="inlineStr">
        <is>
          <t>Product Description</t>
        </is>
      </c>
      <c r="C4" s="81" t="inlineStr">
        <is>
          <t>MOC / Material</t>
        </is>
      </c>
      <c r="D4" s="81" t="inlineStr">
        <is>
          <t>Size</t>
        </is>
      </c>
      <c r="E4" s="81" t="inlineStr">
        <is>
          <t>Pressure Class</t>
        </is>
      </c>
      <c r="F4" s="81" t="inlineStr">
        <is>
          <t>End Connection</t>
        </is>
      </c>
      <c r="G4" s="81" t="inlineStr">
        <is>
          <t>Design Standard</t>
        </is>
      </c>
      <c r="H4" s="81" t="inlineStr">
        <is>
          <t>Hydro Test</t>
        </is>
      </c>
      <c r="I4" s="81" t="inlineStr">
        <is>
          <t>Unit</t>
        </is>
      </c>
      <c r="J4" s="81" t="inlineStr">
        <is>
          <t>Rate (INR)</t>
        </is>
      </c>
      <c r="K4" s="81" t="inlineStr">
        <is>
          <t>Status</t>
        </is>
      </c>
      <c r="L4" s="81" t="inlineStr">
        <is>
          <t>Remarks</t>
        </is>
      </c>
    </row>
    <row r="5" ht="22" customHeight="1">
      <c r="A5" s="64">
        <f>'📋 Product Manager'!B62</f>
        <v/>
      </c>
    </row>
    <row r="6" ht="14" customHeight="1">
      <c r="A6" s="65">
        <f>IFERROR("  Design: "&amp;'📋 Product Manager'!H62&amp;"   ·   Hydro: "&amp;'📋 Product Manager'!I62&amp;" Kg/Cm²", "")</f>
        <v/>
      </c>
    </row>
    <row r="7" ht="16" customHeight="1">
      <c r="A7" s="66">
        <f>IFERROR("  MOC: "&amp;'📋 Product Manager'!D62, "")</f>
        <v/>
      </c>
    </row>
    <row r="8" ht="15" customHeight="1">
      <c r="A8" s="67" t="n">
        <v>1</v>
      </c>
      <c r="B8" s="13">
        <f>'📋 Product Manager'!B62</f>
        <v/>
      </c>
      <c r="C8" s="13">
        <f>'📋 Product Manager'!D62</f>
        <v/>
      </c>
      <c r="D8" s="14">
        <f>'📋 Product Manager'!E62</f>
        <v/>
      </c>
      <c r="E8" s="68">
        <f>IFERROR(IF('📋 Product Manager'!F62&lt;&gt;"",'📋 Product Manager'!F62,'📋 Product Manager'!G62),"")</f>
        <v/>
      </c>
      <c r="F8" s="69">
        <f>'📋 Product Manager'!G62</f>
        <v/>
      </c>
      <c r="G8" s="13">
        <f>'📋 Product Manager'!H62</f>
        <v/>
      </c>
      <c r="H8" s="68">
        <f>'📋 Product Manager'!I62</f>
        <v/>
      </c>
      <c r="I8" s="68">
        <f>'📋 Product Manager'!J62</f>
        <v/>
      </c>
      <c r="J8" s="70">
        <f>'📋 Product Manager'!K62</f>
        <v/>
      </c>
      <c r="K8" s="42">
        <f>'📋 Product Manager'!L62</f>
        <v/>
      </c>
      <c r="L8" s="71">
        <f>IFERROR(IF('📋 Product Manager'!N62="","",'📋 Product Manager'!N62),"")</f>
        <v/>
      </c>
    </row>
    <row r="9" ht="15" customHeight="1">
      <c r="A9" s="72" t="n">
        <v>2</v>
      </c>
      <c r="B9" s="17">
        <f>'📋 Product Manager'!B63</f>
        <v/>
      </c>
      <c r="C9" s="17">
        <f>'📋 Product Manager'!D63</f>
        <v/>
      </c>
      <c r="D9" s="18">
        <f>'📋 Product Manager'!E63</f>
        <v/>
      </c>
      <c r="E9" s="73">
        <f>IFERROR(IF('📋 Product Manager'!F63&lt;&gt;"",'📋 Product Manager'!F63,'📋 Product Manager'!G63),"")</f>
        <v/>
      </c>
      <c r="F9" s="74">
        <f>'📋 Product Manager'!G63</f>
        <v/>
      </c>
      <c r="G9" s="17">
        <f>'📋 Product Manager'!H63</f>
        <v/>
      </c>
      <c r="H9" s="73">
        <f>'📋 Product Manager'!I63</f>
        <v/>
      </c>
      <c r="I9" s="73">
        <f>'📋 Product Manager'!J63</f>
        <v/>
      </c>
      <c r="J9" s="70">
        <f>'📋 Product Manager'!K63</f>
        <v/>
      </c>
      <c r="K9" s="46">
        <f>'📋 Product Manager'!L63</f>
        <v/>
      </c>
      <c r="L9" s="75">
        <f>IFERROR(IF('📋 Product Manager'!N63="","",'📋 Product Manager'!N63),"")</f>
        <v/>
      </c>
    </row>
    <row r="10" ht="15" customHeight="1">
      <c r="A10" s="67" t="n">
        <v>3</v>
      </c>
      <c r="B10" s="13">
        <f>'📋 Product Manager'!B64</f>
        <v/>
      </c>
      <c r="C10" s="13">
        <f>'📋 Product Manager'!D64</f>
        <v/>
      </c>
      <c r="D10" s="14">
        <f>'📋 Product Manager'!E64</f>
        <v/>
      </c>
      <c r="E10" s="68">
        <f>IFERROR(IF('📋 Product Manager'!F64&lt;&gt;"",'📋 Product Manager'!F64,'📋 Product Manager'!G64),"")</f>
        <v/>
      </c>
      <c r="F10" s="69">
        <f>'📋 Product Manager'!G64</f>
        <v/>
      </c>
      <c r="G10" s="13">
        <f>'📋 Product Manager'!H64</f>
        <v/>
      </c>
      <c r="H10" s="68">
        <f>'📋 Product Manager'!I64</f>
        <v/>
      </c>
      <c r="I10" s="68">
        <f>'📋 Product Manager'!J64</f>
        <v/>
      </c>
      <c r="J10" s="70">
        <f>'📋 Product Manager'!K64</f>
        <v/>
      </c>
      <c r="K10" s="42">
        <f>'📋 Product Manager'!L64</f>
        <v/>
      </c>
      <c r="L10" s="71">
        <f>IFERROR(IF('📋 Product Manager'!N64="","",'📋 Product Manager'!N64),"")</f>
        <v/>
      </c>
    </row>
    <row r="11" ht="15" customHeight="1">
      <c r="A11" s="72" t="n">
        <v>4</v>
      </c>
      <c r="B11" s="17">
        <f>'📋 Product Manager'!B65</f>
        <v/>
      </c>
      <c r="C11" s="17">
        <f>'📋 Product Manager'!D65</f>
        <v/>
      </c>
      <c r="D11" s="18">
        <f>'📋 Product Manager'!E65</f>
        <v/>
      </c>
      <c r="E11" s="73">
        <f>IFERROR(IF('📋 Product Manager'!F65&lt;&gt;"",'📋 Product Manager'!F65,'📋 Product Manager'!G65),"")</f>
        <v/>
      </c>
      <c r="F11" s="74">
        <f>'📋 Product Manager'!G65</f>
        <v/>
      </c>
      <c r="G11" s="17">
        <f>'📋 Product Manager'!H65</f>
        <v/>
      </c>
      <c r="H11" s="73">
        <f>'📋 Product Manager'!I65</f>
        <v/>
      </c>
      <c r="I11" s="73">
        <f>'📋 Product Manager'!J65</f>
        <v/>
      </c>
      <c r="J11" s="70">
        <f>'📋 Product Manager'!K65</f>
        <v/>
      </c>
      <c r="K11" s="46">
        <f>'📋 Product Manager'!L65</f>
        <v/>
      </c>
      <c r="L11" s="75">
        <f>IFERROR(IF('📋 Product Manager'!N65="","",'📋 Product Manager'!N65),"")</f>
        <v/>
      </c>
    </row>
    <row r="12" ht="15" customHeight="1">
      <c r="A12" s="67" t="n">
        <v>5</v>
      </c>
      <c r="B12" s="13">
        <f>'📋 Product Manager'!B66</f>
        <v/>
      </c>
      <c r="C12" s="13">
        <f>'📋 Product Manager'!D66</f>
        <v/>
      </c>
      <c r="D12" s="14">
        <f>'📋 Product Manager'!E66</f>
        <v/>
      </c>
      <c r="E12" s="68">
        <f>IFERROR(IF('📋 Product Manager'!F66&lt;&gt;"",'📋 Product Manager'!F66,'📋 Product Manager'!G66),"")</f>
        <v/>
      </c>
      <c r="F12" s="69">
        <f>'📋 Product Manager'!G66</f>
        <v/>
      </c>
      <c r="G12" s="13">
        <f>'📋 Product Manager'!H66</f>
        <v/>
      </c>
      <c r="H12" s="68">
        <f>'📋 Product Manager'!I66</f>
        <v/>
      </c>
      <c r="I12" s="68">
        <f>'📋 Product Manager'!J66</f>
        <v/>
      </c>
      <c r="J12" s="70">
        <f>'📋 Product Manager'!K66</f>
        <v/>
      </c>
      <c r="K12" s="42">
        <f>'📋 Product Manager'!L66</f>
        <v/>
      </c>
      <c r="L12" s="71">
        <f>IFERROR(IF('📋 Product Manager'!N66="","",'📋 Product Manager'!N66),"")</f>
        <v/>
      </c>
    </row>
    <row r="14">
      <c r="A14" s="76" t="inlineStr">
        <is>
          <t>← Back to Product Manager</t>
        </is>
      </c>
      <c r="E14" s="76" t="inlineStr">
        <is>
          <t>← Price Summary</t>
        </is>
      </c>
    </row>
  </sheetData>
  <mergeCells count="7">
    <mergeCell ref="E14:H14"/>
    <mergeCell ref="A2:L2"/>
    <mergeCell ref="A7:L7"/>
    <mergeCell ref="A1:L1"/>
    <mergeCell ref="A5:L5"/>
    <mergeCell ref="A6:L6"/>
    <mergeCell ref="A14:D14"/>
  </mergeCells>
  <hyperlinks>
    <hyperlink xmlns:r="http://schemas.openxmlformats.org/officeDocument/2006/relationships" ref="A14" r:id="rId1"/>
    <hyperlink xmlns:r="http://schemas.openxmlformats.org/officeDocument/2006/relationships" ref="E14" r:id="rId2"/>
  </hyperlinks>
  <pageMargins left="0.75" right="0.75" top="1" bottom="1" header="0.5" footer="0.5"/>
  <pageSetup orientation="landscape" fitToWidth="1"/>
</worksheet>
</file>

<file path=xl/worksheets/sheet10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L9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BALL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82" t="inlineStr">
        <is>
          <t>Sr.</t>
        </is>
      </c>
      <c r="B4" s="82" t="inlineStr">
        <is>
          <t>Product Description</t>
        </is>
      </c>
      <c r="C4" s="82" t="inlineStr">
        <is>
          <t>MOC / Material</t>
        </is>
      </c>
      <c r="D4" s="82" t="inlineStr">
        <is>
          <t>Size</t>
        </is>
      </c>
      <c r="E4" s="82" t="inlineStr">
        <is>
          <t>Pressure Class</t>
        </is>
      </c>
      <c r="F4" s="82" t="inlineStr">
        <is>
          <t>End Connection</t>
        </is>
      </c>
      <c r="G4" s="82" t="inlineStr">
        <is>
          <t>Design Standard</t>
        </is>
      </c>
      <c r="H4" s="82" t="inlineStr">
        <is>
          <t>Hydro Test</t>
        </is>
      </c>
      <c r="I4" s="82" t="inlineStr">
        <is>
          <t>Unit</t>
        </is>
      </c>
      <c r="J4" s="82" t="inlineStr">
        <is>
          <t>Rate (INR)</t>
        </is>
      </c>
      <c r="K4" s="82" t="inlineStr">
        <is>
          <t>Status</t>
        </is>
      </c>
      <c r="L4" s="82" t="inlineStr">
        <is>
          <t>Remarks</t>
        </is>
      </c>
    </row>
    <row r="5" ht="22" customHeight="1">
      <c r="A5" s="64">
        <f>'📋 Product Manager'!B67</f>
        <v/>
      </c>
    </row>
    <row r="6" ht="14" customHeight="1">
      <c r="A6" s="65">
        <f>IFERROR("  Design: "&amp;'📋 Product Manager'!H67&amp;"   ·   Hydro: "&amp;'📋 Product Manager'!I67&amp;" Kg/Cm²", "")</f>
        <v/>
      </c>
    </row>
    <row r="7" ht="16" customHeight="1">
      <c r="A7" s="66">
        <f>IFERROR("  MOC: "&amp;'📋 Product Manager'!D67, "")</f>
        <v/>
      </c>
    </row>
    <row r="8" ht="15" customHeight="1">
      <c r="A8" s="67" t="n">
        <v>1</v>
      </c>
      <c r="B8" s="13">
        <f>'📋 Product Manager'!B67</f>
        <v/>
      </c>
      <c r="C8" s="13">
        <f>'📋 Product Manager'!D67</f>
        <v/>
      </c>
      <c r="D8" s="14">
        <f>'📋 Product Manager'!E67</f>
        <v/>
      </c>
      <c r="E8" s="68">
        <f>IFERROR(IF('📋 Product Manager'!F67&lt;&gt;"",'📋 Product Manager'!F67,'📋 Product Manager'!G67),"")</f>
        <v/>
      </c>
      <c r="F8" s="69">
        <f>'📋 Product Manager'!G67</f>
        <v/>
      </c>
      <c r="G8" s="13">
        <f>'📋 Product Manager'!H67</f>
        <v/>
      </c>
      <c r="H8" s="68">
        <f>'📋 Product Manager'!I67</f>
        <v/>
      </c>
      <c r="I8" s="68">
        <f>'📋 Product Manager'!J67</f>
        <v/>
      </c>
      <c r="J8" s="70">
        <f>'📋 Product Manager'!K67</f>
        <v/>
      </c>
      <c r="K8" s="42">
        <f>'📋 Product Manager'!L67</f>
        <v/>
      </c>
      <c r="L8" s="71">
        <f>IFERROR(IF('📋 Product Manager'!N67="","",'📋 Product Manager'!N67),"")</f>
        <v/>
      </c>
    </row>
    <row r="9" ht="15" customHeight="1">
      <c r="A9" s="72" t="n">
        <v>2</v>
      </c>
      <c r="B9" s="17">
        <f>'📋 Product Manager'!B68</f>
        <v/>
      </c>
      <c r="C9" s="17">
        <f>'📋 Product Manager'!D68</f>
        <v/>
      </c>
      <c r="D9" s="18">
        <f>'📋 Product Manager'!E68</f>
        <v/>
      </c>
      <c r="E9" s="73">
        <f>IFERROR(IF('📋 Product Manager'!F68&lt;&gt;"",'📋 Product Manager'!F68,'📋 Product Manager'!G68),"")</f>
        <v/>
      </c>
      <c r="F9" s="74">
        <f>'📋 Product Manager'!G68</f>
        <v/>
      </c>
      <c r="G9" s="17">
        <f>'📋 Product Manager'!H68</f>
        <v/>
      </c>
      <c r="H9" s="73">
        <f>'📋 Product Manager'!I68</f>
        <v/>
      </c>
      <c r="I9" s="73">
        <f>'📋 Product Manager'!J68</f>
        <v/>
      </c>
      <c r="J9" s="70">
        <f>'📋 Product Manager'!K68</f>
        <v/>
      </c>
      <c r="K9" s="46">
        <f>'📋 Product Manager'!L68</f>
        <v/>
      </c>
      <c r="L9" s="75">
        <f>IFERROR(IF('📋 Product Manager'!N68="","",'📋 Product Manager'!N68),"")</f>
        <v/>
      </c>
    </row>
    <row r="10" ht="15" customHeight="1">
      <c r="A10" s="67" t="n">
        <v>3</v>
      </c>
      <c r="B10" s="13">
        <f>'📋 Product Manager'!B69</f>
        <v/>
      </c>
      <c r="C10" s="13">
        <f>'📋 Product Manager'!D69</f>
        <v/>
      </c>
      <c r="D10" s="14">
        <f>'📋 Product Manager'!E69</f>
        <v/>
      </c>
      <c r="E10" s="68">
        <f>IFERROR(IF('📋 Product Manager'!F69&lt;&gt;"",'📋 Product Manager'!F69,'📋 Product Manager'!G69),"")</f>
        <v/>
      </c>
      <c r="F10" s="69">
        <f>'📋 Product Manager'!G69</f>
        <v/>
      </c>
      <c r="G10" s="13">
        <f>'📋 Product Manager'!H69</f>
        <v/>
      </c>
      <c r="H10" s="68">
        <f>'📋 Product Manager'!I69</f>
        <v/>
      </c>
      <c r="I10" s="68">
        <f>'📋 Product Manager'!J69</f>
        <v/>
      </c>
      <c r="J10" s="70">
        <f>'📋 Product Manager'!K69</f>
        <v/>
      </c>
      <c r="K10" s="42">
        <f>'📋 Product Manager'!L69</f>
        <v/>
      </c>
      <c r="L10" s="71">
        <f>IFERROR(IF('📋 Product Manager'!N69="","",'📋 Product Manager'!N69),"")</f>
        <v/>
      </c>
    </row>
    <row r="11" ht="15" customHeight="1">
      <c r="A11" s="72" t="n">
        <v>4</v>
      </c>
      <c r="B11" s="17">
        <f>'📋 Product Manager'!B70</f>
        <v/>
      </c>
      <c r="C11" s="17">
        <f>'📋 Product Manager'!D70</f>
        <v/>
      </c>
      <c r="D11" s="18">
        <f>'📋 Product Manager'!E70</f>
        <v/>
      </c>
      <c r="E11" s="73">
        <f>IFERROR(IF('📋 Product Manager'!F70&lt;&gt;"",'📋 Product Manager'!F70,'📋 Product Manager'!G70),"")</f>
        <v/>
      </c>
      <c r="F11" s="74">
        <f>'📋 Product Manager'!G70</f>
        <v/>
      </c>
      <c r="G11" s="17">
        <f>'📋 Product Manager'!H70</f>
        <v/>
      </c>
      <c r="H11" s="73">
        <f>'📋 Product Manager'!I70</f>
        <v/>
      </c>
      <c r="I11" s="73">
        <f>'📋 Product Manager'!J70</f>
        <v/>
      </c>
      <c r="J11" s="70">
        <f>'📋 Product Manager'!K70</f>
        <v/>
      </c>
      <c r="K11" s="46">
        <f>'📋 Product Manager'!L70</f>
        <v/>
      </c>
      <c r="L11" s="75">
        <f>IFERROR(IF('📋 Product Manager'!N70="","",'📋 Product Manager'!N70),"")</f>
        <v/>
      </c>
    </row>
    <row r="12" ht="15" customHeight="1">
      <c r="A12" s="67" t="n">
        <v>5</v>
      </c>
      <c r="B12" s="13">
        <f>'📋 Product Manager'!B71</f>
        <v/>
      </c>
      <c r="C12" s="13">
        <f>'📋 Product Manager'!D71</f>
        <v/>
      </c>
      <c r="D12" s="14">
        <f>'📋 Product Manager'!E71</f>
        <v/>
      </c>
      <c r="E12" s="68">
        <f>IFERROR(IF('📋 Product Manager'!F71&lt;&gt;"",'📋 Product Manager'!F71,'📋 Product Manager'!G71),"")</f>
        <v/>
      </c>
      <c r="F12" s="69">
        <f>'📋 Product Manager'!G71</f>
        <v/>
      </c>
      <c r="G12" s="13">
        <f>'📋 Product Manager'!H71</f>
        <v/>
      </c>
      <c r="H12" s="68">
        <f>'📋 Product Manager'!I71</f>
        <v/>
      </c>
      <c r="I12" s="68">
        <f>'📋 Product Manager'!J71</f>
        <v/>
      </c>
      <c r="J12" s="70">
        <f>'📋 Product Manager'!K71</f>
        <v/>
      </c>
      <c r="K12" s="42">
        <f>'📋 Product Manager'!L71</f>
        <v/>
      </c>
      <c r="L12" s="71">
        <f>IFERROR(IF('📋 Product Manager'!N71="","",'📋 Product Manager'!N71),"")</f>
        <v/>
      </c>
    </row>
    <row r="13" ht="15" customHeight="1">
      <c r="A13" s="72" t="n">
        <v>6</v>
      </c>
      <c r="B13" s="17">
        <f>'📋 Product Manager'!B72</f>
        <v/>
      </c>
      <c r="C13" s="17">
        <f>'📋 Product Manager'!D72</f>
        <v/>
      </c>
      <c r="D13" s="18">
        <f>'📋 Product Manager'!E72</f>
        <v/>
      </c>
      <c r="E13" s="73">
        <f>IFERROR(IF('📋 Product Manager'!F72&lt;&gt;"",'📋 Product Manager'!F72,'📋 Product Manager'!G72),"")</f>
        <v/>
      </c>
      <c r="F13" s="74">
        <f>'📋 Product Manager'!G72</f>
        <v/>
      </c>
      <c r="G13" s="17">
        <f>'📋 Product Manager'!H72</f>
        <v/>
      </c>
      <c r="H13" s="73">
        <f>'📋 Product Manager'!I72</f>
        <v/>
      </c>
      <c r="I13" s="73">
        <f>'📋 Product Manager'!J72</f>
        <v/>
      </c>
      <c r="J13" s="70">
        <f>'📋 Product Manager'!K72</f>
        <v/>
      </c>
      <c r="K13" s="46">
        <f>'📋 Product Manager'!L72</f>
        <v/>
      </c>
      <c r="L13" s="75">
        <f>IFERROR(IF('📋 Product Manager'!N72="","",'📋 Product Manager'!N72),"")</f>
        <v/>
      </c>
    </row>
    <row r="14" ht="15" customHeight="1">
      <c r="A14" s="67" t="n">
        <v>7</v>
      </c>
      <c r="B14" s="13">
        <f>'📋 Product Manager'!B73</f>
        <v/>
      </c>
      <c r="C14" s="13">
        <f>'📋 Product Manager'!D73</f>
        <v/>
      </c>
      <c r="D14" s="14">
        <f>'📋 Product Manager'!E73</f>
        <v/>
      </c>
      <c r="E14" s="68">
        <f>IFERROR(IF('📋 Product Manager'!F73&lt;&gt;"",'📋 Product Manager'!F73,'📋 Product Manager'!G73),"")</f>
        <v/>
      </c>
      <c r="F14" s="69">
        <f>'📋 Product Manager'!G73</f>
        <v/>
      </c>
      <c r="G14" s="13">
        <f>'📋 Product Manager'!H73</f>
        <v/>
      </c>
      <c r="H14" s="68">
        <f>'📋 Product Manager'!I73</f>
        <v/>
      </c>
      <c r="I14" s="68">
        <f>'📋 Product Manager'!J73</f>
        <v/>
      </c>
      <c r="J14" s="70">
        <f>'📋 Product Manager'!K73</f>
        <v/>
      </c>
      <c r="K14" s="42">
        <f>'📋 Product Manager'!L73</f>
        <v/>
      </c>
      <c r="L14" s="71">
        <f>IFERROR(IF('📋 Product Manager'!N73="","",'📋 Product Manager'!N73),"")</f>
        <v/>
      </c>
    </row>
    <row r="15" ht="15" customHeight="1">
      <c r="A15" s="72" t="n">
        <v>8</v>
      </c>
      <c r="B15" s="17">
        <f>'📋 Product Manager'!B74</f>
        <v/>
      </c>
      <c r="C15" s="17">
        <f>'📋 Product Manager'!D74</f>
        <v/>
      </c>
      <c r="D15" s="18">
        <f>'📋 Product Manager'!E74</f>
        <v/>
      </c>
      <c r="E15" s="73">
        <f>IFERROR(IF('📋 Product Manager'!F74&lt;&gt;"",'📋 Product Manager'!F74,'📋 Product Manager'!G74),"")</f>
        <v/>
      </c>
      <c r="F15" s="74">
        <f>'📋 Product Manager'!G74</f>
        <v/>
      </c>
      <c r="G15" s="17">
        <f>'📋 Product Manager'!H74</f>
        <v/>
      </c>
      <c r="H15" s="73">
        <f>'📋 Product Manager'!I74</f>
        <v/>
      </c>
      <c r="I15" s="73">
        <f>'📋 Product Manager'!J74</f>
        <v/>
      </c>
      <c r="J15" s="70">
        <f>'📋 Product Manager'!K74</f>
        <v/>
      </c>
      <c r="K15" s="46">
        <f>'📋 Product Manager'!L74</f>
        <v/>
      </c>
      <c r="L15" s="75">
        <f>IFERROR(IF('📋 Product Manager'!N74="","",'📋 Product Manager'!N74),"")</f>
        <v/>
      </c>
    </row>
    <row r="16" ht="15" customHeight="1">
      <c r="A16" s="67" t="n">
        <v>9</v>
      </c>
      <c r="B16" s="13">
        <f>'📋 Product Manager'!B75</f>
        <v/>
      </c>
      <c r="C16" s="13">
        <f>'📋 Product Manager'!D75</f>
        <v/>
      </c>
      <c r="D16" s="14">
        <f>'📋 Product Manager'!E75</f>
        <v/>
      </c>
      <c r="E16" s="68">
        <f>IFERROR(IF('📋 Product Manager'!F75&lt;&gt;"",'📋 Product Manager'!F75,'📋 Product Manager'!G75),"")</f>
        <v/>
      </c>
      <c r="F16" s="69">
        <f>'📋 Product Manager'!G75</f>
        <v/>
      </c>
      <c r="G16" s="13">
        <f>'📋 Product Manager'!H75</f>
        <v/>
      </c>
      <c r="H16" s="68">
        <f>'📋 Product Manager'!I75</f>
        <v/>
      </c>
      <c r="I16" s="68">
        <f>'📋 Product Manager'!J75</f>
        <v/>
      </c>
      <c r="J16" s="70">
        <f>'📋 Product Manager'!K75</f>
        <v/>
      </c>
      <c r="K16" s="42">
        <f>'📋 Product Manager'!L75</f>
        <v/>
      </c>
      <c r="L16" s="71">
        <f>IFERROR(IF('📋 Product Manager'!N75="","",'📋 Product Manager'!N75),"")</f>
        <v/>
      </c>
    </row>
    <row r="17" ht="15" customHeight="1">
      <c r="A17" s="72" t="n">
        <v>10</v>
      </c>
      <c r="B17" s="17">
        <f>'📋 Product Manager'!B76</f>
        <v/>
      </c>
      <c r="C17" s="17">
        <f>'📋 Product Manager'!D76</f>
        <v/>
      </c>
      <c r="D17" s="18">
        <f>'📋 Product Manager'!E76</f>
        <v/>
      </c>
      <c r="E17" s="73">
        <f>IFERROR(IF('📋 Product Manager'!F76&lt;&gt;"",'📋 Product Manager'!F76,'📋 Product Manager'!G76),"")</f>
        <v/>
      </c>
      <c r="F17" s="74">
        <f>'📋 Product Manager'!G76</f>
        <v/>
      </c>
      <c r="G17" s="17">
        <f>'📋 Product Manager'!H76</f>
        <v/>
      </c>
      <c r="H17" s="73">
        <f>'📋 Product Manager'!I76</f>
        <v/>
      </c>
      <c r="I17" s="73">
        <f>'📋 Product Manager'!J76</f>
        <v/>
      </c>
      <c r="J17" s="70">
        <f>'📋 Product Manager'!K76</f>
        <v/>
      </c>
      <c r="K17" s="46">
        <f>'📋 Product Manager'!L76</f>
        <v/>
      </c>
      <c r="L17" s="75">
        <f>IFERROR(IF('📋 Product Manager'!N76="","",'📋 Product Manager'!N76),"")</f>
        <v/>
      </c>
    </row>
    <row r="18" ht="15" customHeight="1">
      <c r="A18" s="67" t="n">
        <v>11</v>
      </c>
      <c r="B18" s="13">
        <f>'📋 Product Manager'!B77</f>
        <v/>
      </c>
      <c r="C18" s="13">
        <f>'📋 Product Manager'!D77</f>
        <v/>
      </c>
      <c r="D18" s="14">
        <f>'📋 Product Manager'!E77</f>
        <v/>
      </c>
      <c r="E18" s="68">
        <f>IFERROR(IF('📋 Product Manager'!F77&lt;&gt;"",'📋 Product Manager'!F77,'📋 Product Manager'!G77),"")</f>
        <v/>
      </c>
      <c r="F18" s="69">
        <f>'📋 Product Manager'!G77</f>
        <v/>
      </c>
      <c r="G18" s="13">
        <f>'📋 Product Manager'!H77</f>
        <v/>
      </c>
      <c r="H18" s="68">
        <f>'📋 Product Manager'!I77</f>
        <v/>
      </c>
      <c r="I18" s="68">
        <f>'📋 Product Manager'!J77</f>
        <v/>
      </c>
      <c r="J18" s="70">
        <f>'📋 Product Manager'!K77</f>
        <v/>
      </c>
      <c r="K18" s="42">
        <f>'📋 Product Manager'!L77</f>
        <v/>
      </c>
      <c r="L18" s="71">
        <f>IFERROR(IF('📋 Product Manager'!N77="","",'📋 Product Manager'!N77),"")</f>
        <v/>
      </c>
    </row>
    <row r="19" ht="16" customHeight="1">
      <c r="A19" s="66">
        <f>IFERROR("  MOC: "&amp;'📋 Product Manager'!D78, "")</f>
        <v/>
      </c>
    </row>
    <row r="20" ht="15" customHeight="1">
      <c r="A20" s="72" t="n">
        <v>12</v>
      </c>
      <c r="B20" s="17">
        <f>'📋 Product Manager'!B78</f>
        <v/>
      </c>
      <c r="C20" s="17">
        <f>'📋 Product Manager'!D78</f>
        <v/>
      </c>
      <c r="D20" s="18">
        <f>'📋 Product Manager'!E78</f>
        <v/>
      </c>
      <c r="E20" s="73">
        <f>IFERROR(IF('📋 Product Manager'!F78&lt;&gt;"",'📋 Product Manager'!F78,'📋 Product Manager'!G78),"")</f>
        <v/>
      </c>
      <c r="F20" s="74">
        <f>'📋 Product Manager'!G78</f>
        <v/>
      </c>
      <c r="G20" s="17">
        <f>'📋 Product Manager'!H78</f>
        <v/>
      </c>
      <c r="H20" s="73">
        <f>'📋 Product Manager'!I78</f>
        <v/>
      </c>
      <c r="I20" s="73">
        <f>'📋 Product Manager'!J78</f>
        <v/>
      </c>
      <c r="J20" s="70">
        <f>'📋 Product Manager'!K78</f>
        <v/>
      </c>
      <c r="K20" s="46">
        <f>'📋 Product Manager'!L78</f>
        <v/>
      </c>
      <c r="L20" s="75">
        <f>IFERROR(IF('📋 Product Manager'!N78="","",'📋 Product Manager'!N78),"")</f>
        <v/>
      </c>
    </row>
    <row r="21" ht="15" customHeight="1">
      <c r="A21" s="67" t="n">
        <v>13</v>
      </c>
      <c r="B21" s="13">
        <f>'📋 Product Manager'!B79</f>
        <v/>
      </c>
      <c r="C21" s="13">
        <f>'📋 Product Manager'!D79</f>
        <v/>
      </c>
      <c r="D21" s="14">
        <f>'📋 Product Manager'!E79</f>
        <v/>
      </c>
      <c r="E21" s="68">
        <f>IFERROR(IF('📋 Product Manager'!F79&lt;&gt;"",'📋 Product Manager'!F79,'📋 Product Manager'!G79),"")</f>
        <v/>
      </c>
      <c r="F21" s="69">
        <f>'📋 Product Manager'!G79</f>
        <v/>
      </c>
      <c r="G21" s="13">
        <f>'📋 Product Manager'!H79</f>
        <v/>
      </c>
      <c r="H21" s="68">
        <f>'📋 Product Manager'!I79</f>
        <v/>
      </c>
      <c r="I21" s="68">
        <f>'📋 Product Manager'!J79</f>
        <v/>
      </c>
      <c r="J21" s="70">
        <f>'📋 Product Manager'!K79</f>
        <v/>
      </c>
      <c r="K21" s="42">
        <f>'📋 Product Manager'!L79</f>
        <v/>
      </c>
      <c r="L21" s="71">
        <f>IFERROR(IF('📋 Product Manager'!N79="","",'📋 Product Manager'!N79),"")</f>
        <v/>
      </c>
    </row>
    <row r="22" ht="15" customHeight="1">
      <c r="A22" s="72" t="n">
        <v>14</v>
      </c>
      <c r="B22" s="17">
        <f>'📋 Product Manager'!B80</f>
        <v/>
      </c>
      <c r="C22" s="17">
        <f>'📋 Product Manager'!D80</f>
        <v/>
      </c>
      <c r="D22" s="18">
        <f>'📋 Product Manager'!E80</f>
        <v/>
      </c>
      <c r="E22" s="73">
        <f>IFERROR(IF('📋 Product Manager'!F80&lt;&gt;"",'📋 Product Manager'!F80,'📋 Product Manager'!G80),"")</f>
        <v/>
      </c>
      <c r="F22" s="74">
        <f>'📋 Product Manager'!G80</f>
        <v/>
      </c>
      <c r="G22" s="17">
        <f>'📋 Product Manager'!H80</f>
        <v/>
      </c>
      <c r="H22" s="73">
        <f>'📋 Product Manager'!I80</f>
        <v/>
      </c>
      <c r="I22" s="73">
        <f>'📋 Product Manager'!J80</f>
        <v/>
      </c>
      <c r="J22" s="70">
        <f>'📋 Product Manager'!K80</f>
        <v/>
      </c>
      <c r="K22" s="46">
        <f>'📋 Product Manager'!L80</f>
        <v/>
      </c>
      <c r="L22" s="75">
        <f>IFERROR(IF('📋 Product Manager'!N80="","",'📋 Product Manager'!N80),"")</f>
        <v/>
      </c>
    </row>
    <row r="23" ht="15" customHeight="1">
      <c r="A23" s="67" t="n">
        <v>15</v>
      </c>
      <c r="B23" s="13">
        <f>'📋 Product Manager'!B81</f>
        <v/>
      </c>
      <c r="C23" s="13">
        <f>'📋 Product Manager'!D81</f>
        <v/>
      </c>
      <c r="D23" s="14">
        <f>'📋 Product Manager'!E81</f>
        <v/>
      </c>
      <c r="E23" s="68">
        <f>IFERROR(IF('📋 Product Manager'!F81&lt;&gt;"",'📋 Product Manager'!F81,'📋 Product Manager'!G81),"")</f>
        <v/>
      </c>
      <c r="F23" s="69">
        <f>'📋 Product Manager'!G81</f>
        <v/>
      </c>
      <c r="G23" s="13">
        <f>'📋 Product Manager'!H81</f>
        <v/>
      </c>
      <c r="H23" s="68">
        <f>'📋 Product Manager'!I81</f>
        <v/>
      </c>
      <c r="I23" s="68">
        <f>'📋 Product Manager'!J81</f>
        <v/>
      </c>
      <c r="J23" s="70">
        <f>'📋 Product Manager'!K81</f>
        <v/>
      </c>
      <c r="K23" s="42">
        <f>'📋 Product Manager'!L81</f>
        <v/>
      </c>
      <c r="L23" s="71">
        <f>IFERROR(IF('📋 Product Manager'!N81="","",'📋 Product Manager'!N81),"")</f>
        <v/>
      </c>
    </row>
    <row r="24" ht="15" customHeight="1">
      <c r="A24" s="72" t="n">
        <v>16</v>
      </c>
      <c r="B24" s="17">
        <f>'📋 Product Manager'!B82</f>
        <v/>
      </c>
      <c r="C24" s="17">
        <f>'📋 Product Manager'!D82</f>
        <v/>
      </c>
      <c r="D24" s="18">
        <f>'📋 Product Manager'!E82</f>
        <v/>
      </c>
      <c r="E24" s="73">
        <f>IFERROR(IF('📋 Product Manager'!F82&lt;&gt;"",'📋 Product Manager'!F82,'📋 Product Manager'!G82),"")</f>
        <v/>
      </c>
      <c r="F24" s="74">
        <f>'📋 Product Manager'!G82</f>
        <v/>
      </c>
      <c r="G24" s="17">
        <f>'📋 Product Manager'!H82</f>
        <v/>
      </c>
      <c r="H24" s="73">
        <f>'📋 Product Manager'!I82</f>
        <v/>
      </c>
      <c r="I24" s="73">
        <f>'📋 Product Manager'!J82</f>
        <v/>
      </c>
      <c r="J24" s="70">
        <f>'📋 Product Manager'!K82</f>
        <v/>
      </c>
      <c r="K24" s="46">
        <f>'📋 Product Manager'!L82</f>
        <v/>
      </c>
      <c r="L24" s="75">
        <f>IFERROR(IF('📋 Product Manager'!N82="","",'📋 Product Manager'!N82),"")</f>
        <v/>
      </c>
    </row>
    <row r="25" ht="15" customHeight="1">
      <c r="A25" s="67" t="n">
        <v>17</v>
      </c>
      <c r="B25" s="13">
        <f>'📋 Product Manager'!B83</f>
        <v/>
      </c>
      <c r="C25" s="13">
        <f>'📋 Product Manager'!D83</f>
        <v/>
      </c>
      <c r="D25" s="14">
        <f>'📋 Product Manager'!E83</f>
        <v/>
      </c>
      <c r="E25" s="68">
        <f>IFERROR(IF('📋 Product Manager'!F83&lt;&gt;"",'📋 Product Manager'!F83,'📋 Product Manager'!G83),"")</f>
        <v/>
      </c>
      <c r="F25" s="69">
        <f>'📋 Product Manager'!G83</f>
        <v/>
      </c>
      <c r="G25" s="13">
        <f>'📋 Product Manager'!H83</f>
        <v/>
      </c>
      <c r="H25" s="68">
        <f>'📋 Product Manager'!I83</f>
        <v/>
      </c>
      <c r="I25" s="68">
        <f>'📋 Product Manager'!J83</f>
        <v/>
      </c>
      <c r="J25" s="70">
        <f>'📋 Product Manager'!K83</f>
        <v/>
      </c>
      <c r="K25" s="42">
        <f>'📋 Product Manager'!L83</f>
        <v/>
      </c>
      <c r="L25" s="71">
        <f>IFERROR(IF('📋 Product Manager'!N83="","",'📋 Product Manager'!N83),"")</f>
        <v/>
      </c>
    </row>
    <row r="26" ht="15" customHeight="1">
      <c r="A26" s="72" t="n">
        <v>18</v>
      </c>
      <c r="B26" s="17">
        <f>'📋 Product Manager'!B84</f>
        <v/>
      </c>
      <c r="C26" s="17">
        <f>'📋 Product Manager'!D84</f>
        <v/>
      </c>
      <c r="D26" s="18">
        <f>'📋 Product Manager'!E84</f>
        <v/>
      </c>
      <c r="E26" s="73">
        <f>IFERROR(IF('📋 Product Manager'!F84&lt;&gt;"",'📋 Product Manager'!F84,'📋 Product Manager'!G84),"")</f>
        <v/>
      </c>
      <c r="F26" s="74">
        <f>'📋 Product Manager'!G84</f>
        <v/>
      </c>
      <c r="G26" s="17">
        <f>'📋 Product Manager'!H84</f>
        <v/>
      </c>
      <c r="H26" s="73">
        <f>'📋 Product Manager'!I84</f>
        <v/>
      </c>
      <c r="I26" s="73">
        <f>'📋 Product Manager'!J84</f>
        <v/>
      </c>
      <c r="J26" s="70">
        <f>'📋 Product Manager'!K84</f>
        <v/>
      </c>
      <c r="K26" s="46">
        <f>'📋 Product Manager'!L84</f>
        <v/>
      </c>
      <c r="L26" s="75">
        <f>IFERROR(IF('📋 Product Manager'!N84="","",'📋 Product Manager'!N84),"")</f>
        <v/>
      </c>
    </row>
    <row r="27" ht="15" customHeight="1">
      <c r="A27" s="67" t="n">
        <v>19</v>
      </c>
      <c r="B27" s="13">
        <f>'📋 Product Manager'!B85</f>
        <v/>
      </c>
      <c r="C27" s="13">
        <f>'📋 Product Manager'!D85</f>
        <v/>
      </c>
      <c r="D27" s="14">
        <f>'📋 Product Manager'!E85</f>
        <v/>
      </c>
      <c r="E27" s="68">
        <f>IFERROR(IF('📋 Product Manager'!F85&lt;&gt;"",'📋 Product Manager'!F85,'📋 Product Manager'!G85),"")</f>
        <v/>
      </c>
      <c r="F27" s="69">
        <f>'📋 Product Manager'!G85</f>
        <v/>
      </c>
      <c r="G27" s="13">
        <f>'📋 Product Manager'!H85</f>
        <v/>
      </c>
      <c r="H27" s="68">
        <f>'📋 Product Manager'!I85</f>
        <v/>
      </c>
      <c r="I27" s="68">
        <f>'📋 Product Manager'!J85</f>
        <v/>
      </c>
      <c r="J27" s="70">
        <f>'📋 Product Manager'!K85</f>
        <v/>
      </c>
      <c r="K27" s="42">
        <f>'📋 Product Manager'!L85</f>
        <v/>
      </c>
      <c r="L27" s="71">
        <f>IFERROR(IF('📋 Product Manager'!N85="","",'📋 Product Manager'!N85),"")</f>
        <v/>
      </c>
    </row>
    <row r="28" ht="15" customHeight="1">
      <c r="A28" s="72" t="n">
        <v>20</v>
      </c>
      <c r="B28" s="17">
        <f>'📋 Product Manager'!B86</f>
        <v/>
      </c>
      <c r="C28" s="17">
        <f>'📋 Product Manager'!D86</f>
        <v/>
      </c>
      <c r="D28" s="18">
        <f>'📋 Product Manager'!E86</f>
        <v/>
      </c>
      <c r="E28" s="73">
        <f>IFERROR(IF('📋 Product Manager'!F86&lt;&gt;"",'📋 Product Manager'!F86,'📋 Product Manager'!G86),"")</f>
        <v/>
      </c>
      <c r="F28" s="74">
        <f>'📋 Product Manager'!G86</f>
        <v/>
      </c>
      <c r="G28" s="17">
        <f>'📋 Product Manager'!H86</f>
        <v/>
      </c>
      <c r="H28" s="73">
        <f>'📋 Product Manager'!I86</f>
        <v/>
      </c>
      <c r="I28" s="73">
        <f>'📋 Product Manager'!J86</f>
        <v/>
      </c>
      <c r="J28" s="70">
        <f>'📋 Product Manager'!K86</f>
        <v/>
      </c>
      <c r="K28" s="46">
        <f>'📋 Product Manager'!L86</f>
        <v/>
      </c>
      <c r="L28" s="75">
        <f>IFERROR(IF('📋 Product Manager'!N86="","",'📋 Product Manager'!N86),"")</f>
        <v/>
      </c>
    </row>
    <row r="29" ht="15" customHeight="1">
      <c r="A29" s="67" t="n">
        <v>21</v>
      </c>
      <c r="B29" s="13">
        <f>'📋 Product Manager'!B87</f>
        <v/>
      </c>
      <c r="C29" s="13">
        <f>'📋 Product Manager'!D87</f>
        <v/>
      </c>
      <c r="D29" s="14">
        <f>'📋 Product Manager'!E87</f>
        <v/>
      </c>
      <c r="E29" s="68">
        <f>IFERROR(IF('📋 Product Manager'!F87&lt;&gt;"",'📋 Product Manager'!F87,'📋 Product Manager'!G87),"")</f>
        <v/>
      </c>
      <c r="F29" s="69">
        <f>'📋 Product Manager'!G87</f>
        <v/>
      </c>
      <c r="G29" s="13">
        <f>'📋 Product Manager'!H87</f>
        <v/>
      </c>
      <c r="H29" s="68">
        <f>'📋 Product Manager'!I87</f>
        <v/>
      </c>
      <c r="I29" s="68">
        <f>'📋 Product Manager'!J87</f>
        <v/>
      </c>
      <c r="J29" s="70">
        <f>'📋 Product Manager'!K87</f>
        <v/>
      </c>
      <c r="K29" s="42">
        <f>'📋 Product Manager'!L87</f>
        <v/>
      </c>
      <c r="L29" s="71">
        <f>IFERROR(IF('📋 Product Manager'!N87="","",'📋 Product Manager'!N87),"")</f>
        <v/>
      </c>
    </row>
    <row r="30" ht="15" customHeight="1">
      <c r="A30" s="72" t="n">
        <v>22</v>
      </c>
      <c r="B30" s="17">
        <f>'📋 Product Manager'!B88</f>
        <v/>
      </c>
      <c r="C30" s="17">
        <f>'📋 Product Manager'!D88</f>
        <v/>
      </c>
      <c r="D30" s="18">
        <f>'📋 Product Manager'!E88</f>
        <v/>
      </c>
      <c r="E30" s="73">
        <f>IFERROR(IF('📋 Product Manager'!F88&lt;&gt;"",'📋 Product Manager'!F88,'📋 Product Manager'!G88),"")</f>
        <v/>
      </c>
      <c r="F30" s="74">
        <f>'📋 Product Manager'!G88</f>
        <v/>
      </c>
      <c r="G30" s="17">
        <f>'📋 Product Manager'!H88</f>
        <v/>
      </c>
      <c r="H30" s="73">
        <f>'📋 Product Manager'!I88</f>
        <v/>
      </c>
      <c r="I30" s="73">
        <f>'📋 Product Manager'!J88</f>
        <v/>
      </c>
      <c r="J30" s="70">
        <f>'📋 Product Manager'!K88</f>
        <v/>
      </c>
      <c r="K30" s="46">
        <f>'📋 Product Manager'!L88</f>
        <v/>
      </c>
      <c r="L30" s="75">
        <f>IFERROR(IF('📋 Product Manager'!N88="","",'📋 Product Manager'!N88),"")</f>
        <v/>
      </c>
    </row>
    <row r="31" ht="22" customHeight="1">
      <c r="A31" s="64">
        <f>'📋 Product Manager'!B89</f>
        <v/>
      </c>
    </row>
    <row r="32" ht="14" customHeight="1">
      <c r="A32" s="65">
        <f>IFERROR("  Design: "&amp;'📋 Product Manager'!H89&amp;"   ·   Hydro: "&amp;'📋 Product Manager'!I89&amp;" Kg/Cm²", "")</f>
        <v/>
      </c>
    </row>
    <row r="33" ht="16" customHeight="1">
      <c r="A33" s="66">
        <f>IFERROR("  MOC: "&amp;'📋 Product Manager'!D89, "")</f>
        <v/>
      </c>
    </row>
    <row r="34" ht="15" customHeight="1">
      <c r="A34" s="67" t="n">
        <v>23</v>
      </c>
      <c r="B34" s="13">
        <f>'📋 Product Manager'!B89</f>
        <v/>
      </c>
      <c r="C34" s="13">
        <f>'📋 Product Manager'!D89</f>
        <v/>
      </c>
      <c r="D34" s="14">
        <f>'📋 Product Manager'!E89</f>
        <v/>
      </c>
      <c r="E34" s="68">
        <f>IFERROR(IF('📋 Product Manager'!F89&lt;&gt;"",'📋 Product Manager'!F89,'📋 Product Manager'!G89),"")</f>
        <v/>
      </c>
      <c r="F34" s="69">
        <f>'📋 Product Manager'!G89</f>
        <v/>
      </c>
      <c r="G34" s="13">
        <f>'📋 Product Manager'!H89</f>
        <v/>
      </c>
      <c r="H34" s="68">
        <f>'📋 Product Manager'!I89</f>
        <v/>
      </c>
      <c r="I34" s="68">
        <f>'📋 Product Manager'!J89</f>
        <v/>
      </c>
      <c r="J34" s="70">
        <f>'📋 Product Manager'!K89</f>
        <v/>
      </c>
      <c r="K34" s="42">
        <f>'📋 Product Manager'!L89</f>
        <v/>
      </c>
      <c r="L34" s="71">
        <f>IFERROR(IF('📋 Product Manager'!N89="","",'📋 Product Manager'!N89),"")</f>
        <v/>
      </c>
    </row>
    <row r="35" ht="15" customHeight="1">
      <c r="A35" s="72" t="n">
        <v>24</v>
      </c>
      <c r="B35" s="17">
        <f>'📋 Product Manager'!B90</f>
        <v/>
      </c>
      <c r="C35" s="17">
        <f>'📋 Product Manager'!D90</f>
        <v/>
      </c>
      <c r="D35" s="18">
        <f>'📋 Product Manager'!E90</f>
        <v/>
      </c>
      <c r="E35" s="73">
        <f>IFERROR(IF('📋 Product Manager'!F90&lt;&gt;"",'📋 Product Manager'!F90,'📋 Product Manager'!G90),"")</f>
        <v/>
      </c>
      <c r="F35" s="74">
        <f>'📋 Product Manager'!G90</f>
        <v/>
      </c>
      <c r="G35" s="17">
        <f>'📋 Product Manager'!H90</f>
        <v/>
      </c>
      <c r="H35" s="73">
        <f>'📋 Product Manager'!I90</f>
        <v/>
      </c>
      <c r="I35" s="73">
        <f>'📋 Product Manager'!J90</f>
        <v/>
      </c>
      <c r="J35" s="70">
        <f>'📋 Product Manager'!K90</f>
        <v/>
      </c>
      <c r="K35" s="46">
        <f>'📋 Product Manager'!L90</f>
        <v/>
      </c>
      <c r="L35" s="75">
        <f>IFERROR(IF('📋 Product Manager'!N90="","",'📋 Product Manager'!N90),"")</f>
        <v/>
      </c>
    </row>
    <row r="36" ht="15" customHeight="1">
      <c r="A36" s="67" t="n">
        <v>25</v>
      </c>
      <c r="B36" s="13">
        <f>'📋 Product Manager'!B91</f>
        <v/>
      </c>
      <c r="C36" s="13">
        <f>'📋 Product Manager'!D91</f>
        <v/>
      </c>
      <c r="D36" s="14">
        <f>'📋 Product Manager'!E91</f>
        <v/>
      </c>
      <c r="E36" s="68">
        <f>IFERROR(IF('📋 Product Manager'!F91&lt;&gt;"",'📋 Product Manager'!F91,'📋 Product Manager'!G91),"")</f>
        <v/>
      </c>
      <c r="F36" s="69">
        <f>'📋 Product Manager'!G91</f>
        <v/>
      </c>
      <c r="G36" s="13">
        <f>'📋 Product Manager'!H91</f>
        <v/>
      </c>
      <c r="H36" s="68">
        <f>'📋 Product Manager'!I91</f>
        <v/>
      </c>
      <c r="I36" s="68">
        <f>'📋 Product Manager'!J91</f>
        <v/>
      </c>
      <c r="J36" s="70">
        <f>'📋 Product Manager'!K91</f>
        <v/>
      </c>
      <c r="K36" s="42">
        <f>'📋 Product Manager'!L91</f>
        <v/>
      </c>
      <c r="L36" s="71">
        <f>IFERROR(IF('📋 Product Manager'!N91="","",'📋 Product Manager'!N91),"")</f>
        <v/>
      </c>
    </row>
    <row r="37" ht="15" customHeight="1">
      <c r="A37" s="72" t="n">
        <v>26</v>
      </c>
      <c r="B37" s="17">
        <f>'📋 Product Manager'!B92</f>
        <v/>
      </c>
      <c r="C37" s="17">
        <f>'📋 Product Manager'!D92</f>
        <v/>
      </c>
      <c r="D37" s="18">
        <f>'📋 Product Manager'!E92</f>
        <v/>
      </c>
      <c r="E37" s="73">
        <f>IFERROR(IF('📋 Product Manager'!F92&lt;&gt;"",'📋 Product Manager'!F92,'📋 Product Manager'!G92),"")</f>
        <v/>
      </c>
      <c r="F37" s="74">
        <f>'📋 Product Manager'!G92</f>
        <v/>
      </c>
      <c r="G37" s="17">
        <f>'📋 Product Manager'!H92</f>
        <v/>
      </c>
      <c r="H37" s="73">
        <f>'📋 Product Manager'!I92</f>
        <v/>
      </c>
      <c r="I37" s="73">
        <f>'📋 Product Manager'!J92</f>
        <v/>
      </c>
      <c r="J37" s="70">
        <f>'📋 Product Manager'!K92</f>
        <v/>
      </c>
      <c r="K37" s="46">
        <f>'📋 Product Manager'!L92</f>
        <v/>
      </c>
      <c r="L37" s="75">
        <f>IFERROR(IF('📋 Product Manager'!N92="","",'📋 Product Manager'!N92),"")</f>
        <v/>
      </c>
    </row>
    <row r="38" ht="15" customHeight="1">
      <c r="A38" s="67" t="n">
        <v>27</v>
      </c>
      <c r="B38" s="13">
        <f>'📋 Product Manager'!B93</f>
        <v/>
      </c>
      <c r="C38" s="13">
        <f>'📋 Product Manager'!D93</f>
        <v/>
      </c>
      <c r="D38" s="14">
        <f>'📋 Product Manager'!E93</f>
        <v/>
      </c>
      <c r="E38" s="68">
        <f>IFERROR(IF('📋 Product Manager'!F93&lt;&gt;"",'📋 Product Manager'!F93,'📋 Product Manager'!G93),"")</f>
        <v/>
      </c>
      <c r="F38" s="69">
        <f>'📋 Product Manager'!G93</f>
        <v/>
      </c>
      <c r="G38" s="13">
        <f>'📋 Product Manager'!H93</f>
        <v/>
      </c>
      <c r="H38" s="68">
        <f>'📋 Product Manager'!I93</f>
        <v/>
      </c>
      <c r="I38" s="68">
        <f>'📋 Product Manager'!J93</f>
        <v/>
      </c>
      <c r="J38" s="70">
        <f>'📋 Product Manager'!K93</f>
        <v/>
      </c>
      <c r="K38" s="42">
        <f>'📋 Product Manager'!L93</f>
        <v/>
      </c>
      <c r="L38" s="71">
        <f>IFERROR(IF('📋 Product Manager'!N93="","",'📋 Product Manager'!N93),"")</f>
        <v/>
      </c>
    </row>
    <row r="39" ht="15" customHeight="1">
      <c r="A39" s="72" t="n">
        <v>28</v>
      </c>
      <c r="B39" s="17">
        <f>'📋 Product Manager'!B94</f>
        <v/>
      </c>
      <c r="C39" s="17">
        <f>'📋 Product Manager'!D94</f>
        <v/>
      </c>
      <c r="D39" s="18">
        <f>'📋 Product Manager'!E94</f>
        <v/>
      </c>
      <c r="E39" s="73">
        <f>IFERROR(IF('📋 Product Manager'!F94&lt;&gt;"",'📋 Product Manager'!F94,'📋 Product Manager'!G94),"")</f>
        <v/>
      </c>
      <c r="F39" s="74">
        <f>'📋 Product Manager'!G94</f>
        <v/>
      </c>
      <c r="G39" s="17">
        <f>'📋 Product Manager'!H94</f>
        <v/>
      </c>
      <c r="H39" s="73">
        <f>'📋 Product Manager'!I94</f>
        <v/>
      </c>
      <c r="I39" s="73">
        <f>'📋 Product Manager'!J94</f>
        <v/>
      </c>
      <c r="J39" s="70">
        <f>'📋 Product Manager'!K94</f>
        <v/>
      </c>
      <c r="K39" s="46">
        <f>'📋 Product Manager'!L94</f>
        <v/>
      </c>
      <c r="L39" s="75">
        <f>IFERROR(IF('📋 Product Manager'!N94="","",'📋 Product Manager'!N94),"")</f>
        <v/>
      </c>
    </row>
    <row r="40" ht="15" customHeight="1">
      <c r="A40" s="67" t="n">
        <v>29</v>
      </c>
      <c r="B40" s="13">
        <f>'📋 Product Manager'!B95</f>
        <v/>
      </c>
      <c r="C40" s="13">
        <f>'📋 Product Manager'!D95</f>
        <v/>
      </c>
      <c r="D40" s="14">
        <f>'📋 Product Manager'!E95</f>
        <v/>
      </c>
      <c r="E40" s="68">
        <f>IFERROR(IF('📋 Product Manager'!F95&lt;&gt;"",'📋 Product Manager'!F95,'📋 Product Manager'!G95),"")</f>
        <v/>
      </c>
      <c r="F40" s="69">
        <f>'📋 Product Manager'!G95</f>
        <v/>
      </c>
      <c r="G40" s="13">
        <f>'📋 Product Manager'!H95</f>
        <v/>
      </c>
      <c r="H40" s="68">
        <f>'📋 Product Manager'!I95</f>
        <v/>
      </c>
      <c r="I40" s="68">
        <f>'📋 Product Manager'!J95</f>
        <v/>
      </c>
      <c r="J40" s="70">
        <f>'📋 Product Manager'!K95</f>
        <v/>
      </c>
      <c r="K40" s="42">
        <f>'📋 Product Manager'!L95</f>
        <v/>
      </c>
      <c r="L40" s="71">
        <f>IFERROR(IF('📋 Product Manager'!N95="","",'📋 Product Manager'!N95),"")</f>
        <v/>
      </c>
    </row>
    <row r="41" ht="15" customHeight="1">
      <c r="A41" s="72" t="n">
        <v>30</v>
      </c>
      <c r="B41" s="17">
        <f>'📋 Product Manager'!B96</f>
        <v/>
      </c>
      <c r="C41" s="17">
        <f>'📋 Product Manager'!D96</f>
        <v/>
      </c>
      <c r="D41" s="18">
        <f>'📋 Product Manager'!E96</f>
        <v/>
      </c>
      <c r="E41" s="73">
        <f>IFERROR(IF('📋 Product Manager'!F96&lt;&gt;"",'📋 Product Manager'!F96,'📋 Product Manager'!G96),"")</f>
        <v/>
      </c>
      <c r="F41" s="74">
        <f>'📋 Product Manager'!G96</f>
        <v/>
      </c>
      <c r="G41" s="17">
        <f>'📋 Product Manager'!H96</f>
        <v/>
      </c>
      <c r="H41" s="73">
        <f>'📋 Product Manager'!I96</f>
        <v/>
      </c>
      <c r="I41" s="73">
        <f>'📋 Product Manager'!J96</f>
        <v/>
      </c>
      <c r="J41" s="70">
        <f>'📋 Product Manager'!K96</f>
        <v/>
      </c>
      <c r="K41" s="46">
        <f>'📋 Product Manager'!L96</f>
        <v/>
      </c>
      <c r="L41" s="75">
        <f>IFERROR(IF('📋 Product Manager'!N96="","",'📋 Product Manager'!N96),"")</f>
        <v/>
      </c>
    </row>
    <row r="42" ht="15" customHeight="1">
      <c r="A42" s="67" t="n">
        <v>31</v>
      </c>
      <c r="B42" s="13">
        <f>'📋 Product Manager'!B97</f>
        <v/>
      </c>
      <c r="C42" s="13">
        <f>'📋 Product Manager'!D97</f>
        <v/>
      </c>
      <c r="D42" s="14">
        <f>'📋 Product Manager'!E97</f>
        <v/>
      </c>
      <c r="E42" s="68">
        <f>IFERROR(IF('📋 Product Manager'!F97&lt;&gt;"",'📋 Product Manager'!F97,'📋 Product Manager'!G97),"")</f>
        <v/>
      </c>
      <c r="F42" s="69">
        <f>'📋 Product Manager'!G97</f>
        <v/>
      </c>
      <c r="G42" s="13">
        <f>'📋 Product Manager'!H97</f>
        <v/>
      </c>
      <c r="H42" s="68">
        <f>'📋 Product Manager'!I97</f>
        <v/>
      </c>
      <c r="I42" s="68">
        <f>'📋 Product Manager'!J97</f>
        <v/>
      </c>
      <c r="J42" s="70">
        <f>'📋 Product Manager'!K97</f>
        <v/>
      </c>
      <c r="K42" s="42">
        <f>'📋 Product Manager'!L97</f>
        <v/>
      </c>
      <c r="L42" s="71">
        <f>IFERROR(IF('📋 Product Manager'!N97="","",'📋 Product Manager'!N97),"")</f>
        <v/>
      </c>
    </row>
    <row r="43" ht="15" customHeight="1">
      <c r="A43" s="72" t="n">
        <v>32</v>
      </c>
      <c r="B43" s="17">
        <f>'📋 Product Manager'!B98</f>
        <v/>
      </c>
      <c r="C43" s="17">
        <f>'📋 Product Manager'!D98</f>
        <v/>
      </c>
      <c r="D43" s="18">
        <f>'📋 Product Manager'!E98</f>
        <v/>
      </c>
      <c r="E43" s="73">
        <f>IFERROR(IF('📋 Product Manager'!F98&lt;&gt;"",'📋 Product Manager'!F98,'📋 Product Manager'!G98),"")</f>
        <v/>
      </c>
      <c r="F43" s="74">
        <f>'📋 Product Manager'!G98</f>
        <v/>
      </c>
      <c r="G43" s="17">
        <f>'📋 Product Manager'!H98</f>
        <v/>
      </c>
      <c r="H43" s="73">
        <f>'📋 Product Manager'!I98</f>
        <v/>
      </c>
      <c r="I43" s="73">
        <f>'📋 Product Manager'!J98</f>
        <v/>
      </c>
      <c r="J43" s="70">
        <f>'📋 Product Manager'!K98</f>
        <v/>
      </c>
      <c r="K43" s="46">
        <f>'📋 Product Manager'!L98</f>
        <v/>
      </c>
      <c r="L43" s="75">
        <f>IFERROR(IF('📋 Product Manager'!N98="","",'📋 Product Manager'!N98),"")</f>
        <v/>
      </c>
    </row>
    <row r="44" ht="16" customHeight="1">
      <c r="A44" s="66">
        <f>IFERROR("  MOC: "&amp;'📋 Product Manager'!D99, "")</f>
        <v/>
      </c>
    </row>
    <row r="45" ht="15" customHeight="1">
      <c r="A45" s="67" t="n">
        <v>33</v>
      </c>
      <c r="B45" s="13">
        <f>'📋 Product Manager'!B99</f>
        <v/>
      </c>
      <c r="C45" s="13">
        <f>'📋 Product Manager'!D99</f>
        <v/>
      </c>
      <c r="D45" s="14">
        <f>'📋 Product Manager'!E99</f>
        <v/>
      </c>
      <c r="E45" s="68">
        <f>IFERROR(IF('📋 Product Manager'!F99&lt;&gt;"",'📋 Product Manager'!F99,'📋 Product Manager'!G99),"")</f>
        <v/>
      </c>
      <c r="F45" s="69">
        <f>'📋 Product Manager'!G99</f>
        <v/>
      </c>
      <c r="G45" s="13">
        <f>'📋 Product Manager'!H99</f>
        <v/>
      </c>
      <c r="H45" s="68">
        <f>'📋 Product Manager'!I99</f>
        <v/>
      </c>
      <c r="I45" s="68">
        <f>'📋 Product Manager'!J99</f>
        <v/>
      </c>
      <c r="J45" s="70">
        <f>'📋 Product Manager'!K99</f>
        <v/>
      </c>
      <c r="K45" s="42">
        <f>'📋 Product Manager'!L99</f>
        <v/>
      </c>
      <c r="L45" s="71">
        <f>IFERROR(IF('📋 Product Manager'!N99="","",'📋 Product Manager'!N99),"")</f>
        <v/>
      </c>
    </row>
    <row r="46" ht="15" customHeight="1">
      <c r="A46" s="72" t="n">
        <v>34</v>
      </c>
      <c r="B46" s="17">
        <f>'📋 Product Manager'!B100</f>
        <v/>
      </c>
      <c r="C46" s="17">
        <f>'📋 Product Manager'!D100</f>
        <v/>
      </c>
      <c r="D46" s="18">
        <f>'📋 Product Manager'!E100</f>
        <v/>
      </c>
      <c r="E46" s="73">
        <f>IFERROR(IF('📋 Product Manager'!F100&lt;&gt;"",'📋 Product Manager'!F100,'📋 Product Manager'!G100),"")</f>
        <v/>
      </c>
      <c r="F46" s="74">
        <f>'📋 Product Manager'!G100</f>
        <v/>
      </c>
      <c r="G46" s="17">
        <f>'📋 Product Manager'!H100</f>
        <v/>
      </c>
      <c r="H46" s="73">
        <f>'📋 Product Manager'!I100</f>
        <v/>
      </c>
      <c r="I46" s="73">
        <f>'📋 Product Manager'!J100</f>
        <v/>
      </c>
      <c r="J46" s="70">
        <f>'📋 Product Manager'!K100</f>
        <v/>
      </c>
      <c r="K46" s="46">
        <f>'📋 Product Manager'!L100</f>
        <v/>
      </c>
      <c r="L46" s="75">
        <f>IFERROR(IF('📋 Product Manager'!N100="","",'📋 Product Manager'!N100),"")</f>
        <v/>
      </c>
    </row>
    <row r="47" ht="15" customHeight="1">
      <c r="A47" s="67" t="n">
        <v>35</v>
      </c>
      <c r="B47" s="13">
        <f>'📋 Product Manager'!B101</f>
        <v/>
      </c>
      <c r="C47" s="13">
        <f>'📋 Product Manager'!D101</f>
        <v/>
      </c>
      <c r="D47" s="14">
        <f>'📋 Product Manager'!E101</f>
        <v/>
      </c>
      <c r="E47" s="68">
        <f>IFERROR(IF('📋 Product Manager'!F101&lt;&gt;"",'📋 Product Manager'!F101,'📋 Product Manager'!G101),"")</f>
        <v/>
      </c>
      <c r="F47" s="69">
        <f>'📋 Product Manager'!G101</f>
        <v/>
      </c>
      <c r="G47" s="13">
        <f>'📋 Product Manager'!H101</f>
        <v/>
      </c>
      <c r="H47" s="68">
        <f>'📋 Product Manager'!I101</f>
        <v/>
      </c>
      <c r="I47" s="68">
        <f>'📋 Product Manager'!J101</f>
        <v/>
      </c>
      <c r="J47" s="70">
        <f>'📋 Product Manager'!K101</f>
        <v/>
      </c>
      <c r="K47" s="42">
        <f>'📋 Product Manager'!L101</f>
        <v/>
      </c>
      <c r="L47" s="71">
        <f>IFERROR(IF('📋 Product Manager'!N101="","",'📋 Product Manager'!N101),"")</f>
        <v/>
      </c>
    </row>
    <row r="48" ht="15" customHeight="1">
      <c r="A48" s="72" t="n">
        <v>36</v>
      </c>
      <c r="B48" s="17">
        <f>'📋 Product Manager'!B102</f>
        <v/>
      </c>
      <c r="C48" s="17">
        <f>'📋 Product Manager'!D102</f>
        <v/>
      </c>
      <c r="D48" s="18">
        <f>'📋 Product Manager'!E102</f>
        <v/>
      </c>
      <c r="E48" s="73">
        <f>IFERROR(IF('📋 Product Manager'!F102&lt;&gt;"",'📋 Product Manager'!F102,'📋 Product Manager'!G102),"")</f>
        <v/>
      </c>
      <c r="F48" s="74">
        <f>'📋 Product Manager'!G102</f>
        <v/>
      </c>
      <c r="G48" s="17">
        <f>'📋 Product Manager'!H102</f>
        <v/>
      </c>
      <c r="H48" s="73">
        <f>'📋 Product Manager'!I102</f>
        <v/>
      </c>
      <c r="I48" s="73">
        <f>'📋 Product Manager'!J102</f>
        <v/>
      </c>
      <c r="J48" s="70">
        <f>'📋 Product Manager'!K102</f>
        <v/>
      </c>
      <c r="K48" s="46">
        <f>'📋 Product Manager'!L102</f>
        <v/>
      </c>
      <c r="L48" s="75">
        <f>IFERROR(IF('📋 Product Manager'!N102="","",'📋 Product Manager'!N102),"")</f>
        <v/>
      </c>
    </row>
    <row r="49" ht="15" customHeight="1">
      <c r="A49" s="67" t="n">
        <v>37</v>
      </c>
      <c r="B49" s="13">
        <f>'📋 Product Manager'!B103</f>
        <v/>
      </c>
      <c r="C49" s="13">
        <f>'📋 Product Manager'!D103</f>
        <v/>
      </c>
      <c r="D49" s="14">
        <f>'📋 Product Manager'!E103</f>
        <v/>
      </c>
      <c r="E49" s="68">
        <f>IFERROR(IF('📋 Product Manager'!F103&lt;&gt;"",'📋 Product Manager'!F103,'📋 Product Manager'!G103),"")</f>
        <v/>
      </c>
      <c r="F49" s="69">
        <f>'📋 Product Manager'!G103</f>
        <v/>
      </c>
      <c r="G49" s="13">
        <f>'📋 Product Manager'!H103</f>
        <v/>
      </c>
      <c r="H49" s="68">
        <f>'📋 Product Manager'!I103</f>
        <v/>
      </c>
      <c r="I49" s="68">
        <f>'📋 Product Manager'!J103</f>
        <v/>
      </c>
      <c r="J49" s="70">
        <f>'📋 Product Manager'!K103</f>
        <v/>
      </c>
      <c r="K49" s="42">
        <f>'📋 Product Manager'!L103</f>
        <v/>
      </c>
      <c r="L49" s="71">
        <f>IFERROR(IF('📋 Product Manager'!N103="","",'📋 Product Manager'!N103),"")</f>
        <v/>
      </c>
    </row>
    <row r="50" ht="15" customHeight="1">
      <c r="A50" s="72" t="n">
        <v>38</v>
      </c>
      <c r="B50" s="17">
        <f>'📋 Product Manager'!B104</f>
        <v/>
      </c>
      <c r="C50" s="17">
        <f>'📋 Product Manager'!D104</f>
        <v/>
      </c>
      <c r="D50" s="18">
        <f>'📋 Product Manager'!E104</f>
        <v/>
      </c>
      <c r="E50" s="73">
        <f>IFERROR(IF('📋 Product Manager'!F104&lt;&gt;"",'📋 Product Manager'!F104,'📋 Product Manager'!G104),"")</f>
        <v/>
      </c>
      <c r="F50" s="74">
        <f>'📋 Product Manager'!G104</f>
        <v/>
      </c>
      <c r="G50" s="17">
        <f>'📋 Product Manager'!H104</f>
        <v/>
      </c>
      <c r="H50" s="73">
        <f>'📋 Product Manager'!I104</f>
        <v/>
      </c>
      <c r="I50" s="73">
        <f>'📋 Product Manager'!J104</f>
        <v/>
      </c>
      <c r="J50" s="70">
        <f>'📋 Product Manager'!K104</f>
        <v/>
      </c>
      <c r="K50" s="46">
        <f>'📋 Product Manager'!L104</f>
        <v/>
      </c>
      <c r="L50" s="75">
        <f>IFERROR(IF('📋 Product Manager'!N104="","",'📋 Product Manager'!N104),"")</f>
        <v/>
      </c>
    </row>
    <row r="51" ht="15" customHeight="1">
      <c r="A51" s="67" t="n">
        <v>39</v>
      </c>
      <c r="B51" s="13">
        <f>'📋 Product Manager'!B105</f>
        <v/>
      </c>
      <c r="C51" s="13">
        <f>'📋 Product Manager'!D105</f>
        <v/>
      </c>
      <c r="D51" s="14">
        <f>'📋 Product Manager'!E105</f>
        <v/>
      </c>
      <c r="E51" s="68">
        <f>IFERROR(IF('📋 Product Manager'!F105&lt;&gt;"",'📋 Product Manager'!F105,'📋 Product Manager'!G105),"")</f>
        <v/>
      </c>
      <c r="F51" s="69">
        <f>'📋 Product Manager'!G105</f>
        <v/>
      </c>
      <c r="G51" s="13">
        <f>'📋 Product Manager'!H105</f>
        <v/>
      </c>
      <c r="H51" s="68">
        <f>'📋 Product Manager'!I105</f>
        <v/>
      </c>
      <c r="I51" s="68">
        <f>'📋 Product Manager'!J105</f>
        <v/>
      </c>
      <c r="J51" s="70">
        <f>'📋 Product Manager'!K105</f>
        <v/>
      </c>
      <c r="K51" s="42">
        <f>'📋 Product Manager'!L105</f>
        <v/>
      </c>
      <c r="L51" s="71">
        <f>IFERROR(IF('📋 Product Manager'!N105="","",'📋 Product Manager'!N105),"")</f>
        <v/>
      </c>
    </row>
    <row r="52" ht="15" customHeight="1">
      <c r="A52" s="72" t="n">
        <v>40</v>
      </c>
      <c r="B52" s="17">
        <f>'📋 Product Manager'!B106</f>
        <v/>
      </c>
      <c r="C52" s="17">
        <f>'📋 Product Manager'!D106</f>
        <v/>
      </c>
      <c r="D52" s="18">
        <f>'📋 Product Manager'!E106</f>
        <v/>
      </c>
      <c r="E52" s="73">
        <f>IFERROR(IF('📋 Product Manager'!F106&lt;&gt;"",'📋 Product Manager'!F106,'📋 Product Manager'!G106),"")</f>
        <v/>
      </c>
      <c r="F52" s="74">
        <f>'📋 Product Manager'!G106</f>
        <v/>
      </c>
      <c r="G52" s="17">
        <f>'📋 Product Manager'!H106</f>
        <v/>
      </c>
      <c r="H52" s="73">
        <f>'📋 Product Manager'!I106</f>
        <v/>
      </c>
      <c r="I52" s="73">
        <f>'📋 Product Manager'!J106</f>
        <v/>
      </c>
      <c r="J52" s="70">
        <f>'📋 Product Manager'!K106</f>
        <v/>
      </c>
      <c r="K52" s="46">
        <f>'📋 Product Manager'!L106</f>
        <v/>
      </c>
      <c r="L52" s="75">
        <f>IFERROR(IF('📋 Product Manager'!N106="","",'📋 Product Manager'!N106),"")</f>
        <v/>
      </c>
    </row>
    <row r="53" ht="15" customHeight="1">
      <c r="A53" s="67" t="n">
        <v>41</v>
      </c>
      <c r="B53" s="13">
        <f>'📋 Product Manager'!B107</f>
        <v/>
      </c>
      <c r="C53" s="13">
        <f>'📋 Product Manager'!D107</f>
        <v/>
      </c>
      <c r="D53" s="14">
        <f>'📋 Product Manager'!E107</f>
        <v/>
      </c>
      <c r="E53" s="68">
        <f>IFERROR(IF('📋 Product Manager'!F107&lt;&gt;"",'📋 Product Manager'!F107,'📋 Product Manager'!G107),"")</f>
        <v/>
      </c>
      <c r="F53" s="69">
        <f>'📋 Product Manager'!G107</f>
        <v/>
      </c>
      <c r="G53" s="13">
        <f>'📋 Product Manager'!H107</f>
        <v/>
      </c>
      <c r="H53" s="68">
        <f>'📋 Product Manager'!I107</f>
        <v/>
      </c>
      <c r="I53" s="68">
        <f>'📋 Product Manager'!J107</f>
        <v/>
      </c>
      <c r="J53" s="70">
        <f>'📋 Product Manager'!K107</f>
        <v/>
      </c>
      <c r="K53" s="42">
        <f>'📋 Product Manager'!L107</f>
        <v/>
      </c>
      <c r="L53" s="71">
        <f>IFERROR(IF('📋 Product Manager'!N107="","",'📋 Product Manager'!N107),"")</f>
        <v/>
      </c>
    </row>
    <row r="54" ht="15" customHeight="1">
      <c r="A54" s="72" t="n">
        <v>42</v>
      </c>
      <c r="B54" s="17">
        <f>'📋 Product Manager'!B108</f>
        <v/>
      </c>
      <c r="C54" s="17">
        <f>'📋 Product Manager'!D108</f>
        <v/>
      </c>
      <c r="D54" s="18">
        <f>'📋 Product Manager'!E108</f>
        <v/>
      </c>
      <c r="E54" s="73">
        <f>IFERROR(IF('📋 Product Manager'!F108&lt;&gt;"",'📋 Product Manager'!F108,'📋 Product Manager'!G108),"")</f>
        <v/>
      </c>
      <c r="F54" s="74">
        <f>'📋 Product Manager'!G108</f>
        <v/>
      </c>
      <c r="G54" s="17">
        <f>'📋 Product Manager'!H108</f>
        <v/>
      </c>
      <c r="H54" s="73">
        <f>'📋 Product Manager'!I108</f>
        <v/>
      </c>
      <c r="I54" s="73">
        <f>'📋 Product Manager'!J108</f>
        <v/>
      </c>
      <c r="J54" s="70">
        <f>'📋 Product Manager'!K108</f>
        <v/>
      </c>
      <c r="K54" s="46">
        <f>'📋 Product Manager'!L108</f>
        <v/>
      </c>
      <c r="L54" s="75">
        <f>IFERROR(IF('📋 Product Manager'!N108="","",'📋 Product Manager'!N108),"")</f>
        <v/>
      </c>
    </row>
    <row r="55" ht="22" customHeight="1">
      <c r="A55" s="64">
        <f>'📋 Product Manager'!B109</f>
        <v/>
      </c>
    </row>
    <row r="56" ht="14" customHeight="1">
      <c r="A56" s="65">
        <f>IFERROR("  Design: "&amp;'📋 Product Manager'!H109&amp;"   ·   Hydro: "&amp;'📋 Product Manager'!I109&amp;" Kg/Cm²", "")</f>
        <v/>
      </c>
    </row>
    <row r="57" ht="16" customHeight="1">
      <c r="A57" s="66">
        <f>IFERROR("  MOC: "&amp;'📋 Product Manager'!D109, "")</f>
        <v/>
      </c>
    </row>
    <row r="58" ht="15" customHeight="1">
      <c r="A58" s="67" t="n">
        <v>43</v>
      </c>
      <c r="B58" s="13">
        <f>'📋 Product Manager'!B109</f>
        <v/>
      </c>
      <c r="C58" s="13">
        <f>'📋 Product Manager'!D109</f>
        <v/>
      </c>
      <c r="D58" s="14">
        <f>'📋 Product Manager'!E109</f>
        <v/>
      </c>
      <c r="E58" s="68">
        <f>IFERROR(IF('📋 Product Manager'!F109&lt;&gt;"",'📋 Product Manager'!F109,'📋 Product Manager'!G109),"")</f>
        <v/>
      </c>
      <c r="F58" s="69">
        <f>'📋 Product Manager'!G109</f>
        <v/>
      </c>
      <c r="G58" s="13">
        <f>'📋 Product Manager'!H109</f>
        <v/>
      </c>
      <c r="H58" s="68">
        <f>'📋 Product Manager'!I109</f>
        <v/>
      </c>
      <c r="I58" s="68">
        <f>'📋 Product Manager'!J109</f>
        <v/>
      </c>
      <c r="J58" s="70">
        <f>'📋 Product Manager'!K109</f>
        <v/>
      </c>
      <c r="K58" s="42">
        <f>'📋 Product Manager'!L109</f>
        <v/>
      </c>
      <c r="L58" s="71">
        <f>IFERROR(IF('📋 Product Manager'!N109="","",'📋 Product Manager'!N109),"")</f>
        <v/>
      </c>
    </row>
    <row r="59" ht="15" customHeight="1">
      <c r="A59" s="72" t="n">
        <v>44</v>
      </c>
      <c r="B59" s="17">
        <f>'📋 Product Manager'!B110</f>
        <v/>
      </c>
      <c r="C59" s="17">
        <f>'📋 Product Manager'!D110</f>
        <v/>
      </c>
      <c r="D59" s="18">
        <f>'📋 Product Manager'!E110</f>
        <v/>
      </c>
      <c r="E59" s="73">
        <f>IFERROR(IF('📋 Product Manager'!F110&lt;&gt;"",'📋 Product Manager'!F110,'📋 Product Manager'!G110),"")</f>
        <v/>
      </c>
      <c r="F59" s="74">
        <f>'📋 Product Manager'!G110</f>
        <v/>
      </c>
      <c r="G59" s="17">
        <f>'📋 Product Manager'!H110</f>
        <v/>
      </c>
      <c r="H59" s="73">
        <f>'📋 Product Manager'!I110</f>
        <v/>
      </c>
      <c r="I59" s="73">
        <f>'📋 Product Manager'!J110</f>
        <v/>
      </c>
      <c r="J59" s="70">
        <f>'📋 Product Manager'!K110</f>
        <v/>
      </c>
      <c r="K59" s="46">
        <f>'📋 Product Manager'!L110</f>
        <v/>
      </c>
      <c r="L59" s="75">
        <f>IFERROR(IF('📋 Product Manager'!N110="","",'📋 Product Manager'!N110),"")</f>
        <v/>
      </c>
    </row>
    <row r="60" ht="15" customHeight="1">
      <c r="A60" s="67" t="n">
        <v>45</v>
      </c>
      <c r="B60" s="13">
        <f>'📋 Product Manager'!B111</f>
        <v/>
      </c>
      <c r="C60" s="13">
        <f>'📋 Product Manager'!D111</f>
        <v/>
      </c>
      <c r="D60" s="14">
        <f>'📋 Product Manager'!E111</f>
        <v/>
      </c>
      <c r="E60" s="68">
        <f>IFERROR(IF('📋 Product Manager'!F111&lt;&gt;"",'📋 Product Manager'!F111,'📋 Product Manager'!G111),"")</f>
        <v/>
      </c>
      <c r="F60" s="69">
        <f>'📋 Product Manager'!G111</f>
        <v/>
      </c>
      <c r="G60" s="13">
        <f>'📋 Product Manager'!H111</f>
        <v/>
      </c>
      <c r="H60" s="68">
        <f>'📋 Product Manager'!I111</f>
        <v/>
      </c>
      <c r="I60" s="68">
        <f>'📋 Product Manager'!J111</f>
        <v/>
      </c>
      <c r="J60" s="70">
        <f>'📋 Product Manager'!K111</f>
        <v/>
      </c>
      <c r="K60" s="42">
        <f>'📋 Product Manager'!L111</f>
        <v/>
      </c>
      <c r="L60" s="71">
        <f>IFERROR(IF('📋 Product Manager'!N111="","",'📋 Product Manager'!N111),"")</f>
        <v/>
      </c>
    </row>
    <row r="61" ht="15" customHeight="1">
      <c r="A61" s="72" t="n">
        <v>46</v>
      </c>
      <c r="B61" s="17">
        <f>'📋 Product Manager'!B112</f>
        <v/>
      </c>
      <c r="C61" s="17">
        <f>'📋 Product Manager'!D112</f>
        <v/>
      </c>
      <c r="D61" s="18">
        <f>'📋 Product Manager'!E112</f>
        <v/>
      </c>
      <c r="E61" s="73">
        <f>IFERROR(IF('📋 Product Manager'!F112&lt;&gt;"",'📋 Product Manager'!F112,'📋 Product Manager'!G112),"")</f>
        <v/>
      </c>
      <c r="F61" s="74">
        <f>'📋 Product Manager'!G112</f>
        <v/>
      </c>
      <c r="G61" s="17">
        <f>'📋 Product Manager'!H112</f>
        <v/>
      </c>
      <c r="H61" s="73">
        <f>'📋 Product Manager'!I112</f>
        <v/>
      </c>
      <c r="I61" s="73">
        <f>'📋 Product Manager'!J112</f>
        <v/>
      </c>
      <c r="J61" s="70">
        <f>'📋 Product Manager'!K112</f>
        <v/>
      </c>
      <c r="K61" s="46">
        <f>'📋 Product Manager'!L112</f>
        <v/>
      </c>
      <c r="L61" s="75">
        <f>IFERROR(IF('📋 Product Manager'!N112="","",'📋 Product Manager'!N112),"")</f>
        <v/>
      </c>
    </row>
    <row r="62" ht="15" customHeight="1">
      <c r="A62" s="67" t="n">
        <v>47</v>
      </c>
      <c r="B62" s="13">
        <f>'📋 Product Manager'!B113</f>
        <v/>
      </c>
      <c r="C62" s="13">
        <f>'📋 Product Manager'!D113</f>
        <v/>
      </c>
      <c r="D62" s="14">
        <f>'📋 Product Manager'!E113</f>
        <v/>
      </c>
      <c r="E62" s="68">
        <f>IFERROR(IF('📋 Product Manager'!F113&lt;&gt;"",'📋 Product Manager'!F113,'📋 Product Manager'!G113),"")</f>
        <v/>
      </c>
      <c r="F62" s="69">
        <f>'📋 Product Manager'!G113</f>
        <v/>
      </c>
      <c r="G62" s="13">
        <f>'📋 Product Manager'!H113</f>
        <v/>
      </c>
      <c r="H62" s="68">
        <f>'📋 Product Manager'!I113</f>
        <v/>
      </c>
      <c r="I62" s="68">
        <f>'📋 Product Manager'!J113</f>
        <v/>
      </c>
      <c r="J62" s="70">
        <f>'📋 Product Manager'!K113</f>
        <v/>
      </c>
      <c r="K62" s="42">
        <f>'📋 Product Manager'!L113</f>
        <v/>
      </c>
      <c r="L62" s="71">
        <f>IFERROR(IF('📋 Product Manager'!N113="","",'📋 Product Manager'!N113),"")</f>
        <v/>
      </c>
    </row>
    <row r="63" ht="16" customHeight="1">
      <c r="A63" s="66">
        <f>IFERROR("  MOC: "&amp;'📋 Product Manager'!D114, "")</f>
        <v/>
      </c>
    </row>
    <row r="64" ht="15" customHeight="1">
      <c r="A64" s="72" t="n">
        <v>48</v>
      </c>
      <c r="B64" s="17">
        <f>'📋 Product Manager'!B114</f>
        <v/>
      </c>
      <c r="C64" s="17">
        <f>'📋 Product Manager'!D114</f>
        <v/>
      </c>
      <c r="D64" s="18">
        <f>'📋 Product Manager'!E114</f>
        <v/>
      </c>
      <c r="E64" s="73">
        <f>IFERROR(IF('📋 Product Manager'!F114&lt;&gt;"",'📋 Product Manager'!F114,'📋 Product Manager'!G114),"")</f>
        <v/>
      </c>
      <c r="F64" s="74">
        <f>'📋 Product Manager'!G114</f>
        <v/>
      </c>
      <c r="G64" s="17">
        <f>'📋 Product Manager'!H114</f>
        <v/>
      </c>
      <c r="H64" s="73">
        <f>'📋 Product Manager'!I114</f>
        <v/>
      </c>
      <c r="I64" s="73">
        <f>'📋 Product Manager'!J114</f>
        <v/>
      </c>
      <c r="J64" s="70">
        <f>'📋 Product Manager'!K114</f>
        <v/>
      </c>
      <c r="K64" s="46">
        <f>'📋 Product Manager'!L114</f>
        <v/>
      </c>
      <c r="L64" s="75">
        <f>IFERROR(IF('📋 Product Manager'!N114="","",'📋 Product Manager'!N114),"")</f>
        <v/>
      </c>
    </row>
    <row r="65" ht="15" customHeight="1">
      <c r="A65" s="67" t="n">
        <v>49</v>
      </c>
      <c r="B65" s="13">
        <f>'📋 Product Manager'!B115</f>
        <v/>
      </c>
      <c r="C65" s="13">
        <f>'📋 Product Manager'!D115</f>
        <v/>
      </c>
      <c r="D65" s="14">
        <f>'📋 Product Manager'!E115</f>
        <v/>
      </c>
      <c r="E65" s="68">
        <f>IFERROR(IF('📋 Product Manager'!F115&lt;&gt;"",'📋 Product Manager'!F115,'📋 Product Manager'!G115),"")</f>
        <v/>
      </c>
      <c r="F65" s="69">
        <f>'📋 Product Manager'!G115</f>
        <v/>
      </c>
      <c r="G65" s="13">
        <f>'📋 Product Manager'!H115</f>
        <v/>
      </c>
      <c r="H65" s="68">
        <f>'📋 Product Manager'!I115</f>
        <v/>
      </c>
      <c r="I65" s="68">
        <f>'📋 Product Manager'!J115</f>
        <v/>
      </c>
      <c r="J65" s="70">
        <f>'📋 Product Manager'!K115</f>
        <v/>
      </c>
      <c r="K65" s="42">
        <f>'📋 Product Manager'!L115</f>
        <v/>
      </c>
      <c r="L65" s="71">
        <f>IFERROR(IF('📋 Product Manager'!N115="","",'📋 Product Manager'!N115),"")</f>
        <v/>
      </c>
    </row>
    <row r="66" ht="15" customHeight="1">
      <c r="A66" s="72" t="n">
        <v>50</v>
      </c>
      <c r="B66" s="17">
        <f>'📋 Product Manager'!B116</f>
        <v/>
      </c>
      <c r="C66" s="17">
        <f>'📋 Product Manager'!D116</f>
        <v/>
      </c>
      <c r="D66" s="18">
        <f>'📋 Product Manager'!E116</f>
        <v/>
      </c>
      <c r="E66" s="73">
        <f>IFERROR(IF('📋 Product Manager'!F116&lt;&gt;"",'📋 Product Manager'!F116,'📋 Product Manager'!G116),"")</f>
        <v/>
      </c>
      <c r="F66" s="74">
        <f>'📋 Product Manager'!G116</f>
        <v/>
      </c>
      <c r="G66" s="17">
        <f>'📋 Product Manager'!H116</f>
        <v/>
      </c>
      <c r="H66" s="73">
        <f>'📋 Product Manager'!I116</f>
        <v/>
      </c>
      <c r="I66" s="73">
        <f>'📋 Product Manager'!J116</f>
        <v/>
      </c>
      <c r="J66" s="70">
        <f>'📋 Product Manager'!K116</f>
        <v/>
      </c>
      <c r="K66" s="46">
        <f>'📋 Product Manager'!L116</f>
        <v/>
      </c>
      <c r="L66" s="75">
        <f>IFERROR(IF('📋 Product Manager'!N116="","",'📋 Product Manager'!N116),"")</f>
        <v/>
      </c>
    </row>
    <row r="67" ht="15" customHeight="1">
      <c r="A67" s="67" t="n">
        <v>51</v>
      </c>
      <c r="B67" s="13">
        <f>'📋 Product Manager'!B117</f>
        <v/>
      </c>
      <c r="C67" s="13">
        <f>'📋 Product Manager'!D117</f>
        <v/>
      </c>
      <c r="D67" s="14">
        <f>'📋 Product Manager'!E117</f>
        <v/>
      </c>
      <c r="E67" s="68">
        <f>IFERROR(IF('📋 Product Manager'!F117&lt;&gt;"",'📋 Product Manager'!F117,'📋 Product Manager'!G117),"")</f>
        <v/>
      </c>
      <c r="F67" s="69">
        <f>'📋 Product Manager'!G117</f>
        <v/>
      </c>
      <c r="G67" s="13">
        <f>'📋 Product Manager'!H117</f>
        <v/>
      </c>
      <c r="H67" s="68">
        <f>'📋 Product Manager'!I117</f>
        <v/>
      </c>
      <c r="I67" s="68">
        <f>'📋 Product Manager'!J117</f>
        <v/>
      </c>
      <c r="J67" s="70">
        <f>'📋 Product Manager'!K117</f>
        <v/>
      </c>
      <c r="K67" s="42">
        <f>'📋 Product Manager'!L117</f>
        <v/>
      </c>
      <c r="L67" s="71">
        <f>IFERROR(IF('📋 Product Manager'!N117="","",'📋 Product Manager'!N117),"")</f>
        <v/>
      </c>
    </row>
    <row r="68" ht="15" customHeight="1">
      <c r="A68" s="72" t="n">
        <v>52</v>
      </c>
      <c r="B68" s="17">
        <f>'📋 Product Manager'!B118</f>
        <v/>
      </c>
      <c r="C68" s="17">
        <f>'📋 Product Manager'!D118</f>
        <v/>
      </c>
      <c r="D68" s="18">
        <f>'📋 Product Manager'!E118</f>
        <v/>
      </c>
      <c r="E68" s="73">
        <f>IFERROR(IF('📋 Product Manager'!F118&lt;&gt;"",'📋 Product Manager'!F118,'📋 Product Manager'!G118),"")</f>
        <v/>
      </c>
      <c r="F68" s="74">
        <f>'📋 Product Manager'!G118</f>
        <v/>
      </c>
      <c r="G68" s="17">
        <f>'📋 Product Manager'!H118</f>
        <v/>
      </c>
      <c r="H68" s="73">
        <f>'📋 Product Manager'!I118</f>
        <v/>
      </c>
      <c r="I68" s="73">
        <f>'📋 Product Manager'!J118</f>
        <v/>
      </c>
      <c r="J68" s="70">
        <f>'📋 Product Manager'!K118</f>
        <v/>
      </c>
      <c r="K68" s="46">
        <f>'📋 Product Manager'!L118</f>
        <v/>
      </c>
      <c r="L68" s="75">
        <f>IFERROR(IF('📋 Product Manager'!N118="","",'📋 Product Manager'!N118),"")</f>
        <v/>
      </c>
    </row>
    <row r="69" ht="22" customHeight="1">
      <c r="A69" s="64">
        <f>'📋 Product Manager'!B119</f>
        <v/>
      </c>
    </row>
    <row r="70" ht="14" customHeight="1">
      <c r="A70" s="65">
        <f>IFERROR("  Design: "&amp;'📋 Product Manager'!H119&amp;"   ·   Hydro: "&amp;'📋 Product Manager'!I119&amp;" Kg/Cm²", "")</f>
        <v/>
      </c>
    </row>
    <row r="71" ht="16" customHeight="1">
      <c r="A71" s="66">
        <f>IFERROR("  MOC: "&amp;'📋 Product Manager'!D119, "")</f>
        <v/>
      </c>
    </row>
    <row r="72" ht="15" customHeight="1">
      <c r="A72" s="67" t="n">
        <v>53</v>
      </c>
      <c r="B72" s="13">
        <f>'📋 Product Manager'!B119</f>
        <v/>
      </c>
      <c r="C72" s="13">
        <f>'📋 Product Manager'!D119</f>
        <v/>
      </c>
      <c r="D72" s="14">
        <f>'📋 Product Manager'!E119</f>
        <v/>
      </c>
      <c r="E72" s="68">
        <f>IFERROR(IF('📋 Product Manager'!F119&lt;&gt;"",'📋 Product Manager'!F119,'📋 Product Manager'!G119),"")</f>
        <v/>
      </c>
      <c r="F72" s="69">
        <f>'📋 Product Manager'!G119</f>
        <v/>
      </c>
      <c r="G72" s="13">
        <f>'📋 Product Manager'!H119</f>
        <v/>
      </c>
      <c r="H72" s="68">
        <f>'📋 Product Manager'!I119</f>
        <v/>
      </c>
      <c r="I72" s="68">
        <f>'📋 Product Manager'!J119</f>
        <v/>
      </c>
      <c r="J72" s="70">
        <f>'📋 Product Manager'!K119</f>
        <v/>
      </c>
      <c r="K72" s="42">
        <f>'📋 Product Manager'!L119</f>
        <v/>
      </c>
      <c r="L72" s="71">
        <f>IFERROR(IF('📋 Product Manager'!N119="","",'📋 Product Manager'!N119),"")</f>
        <v/>
      </c>
    </row>
    <row r="73" ht="15" customHeight="1">
      <c r="A73" s="72" t="n">
        <v>54</v>
      </c>
      <c r="B73" s="17">
        <f>'📋 Product Manager'!B120</f>
        <v/>
      </c>
      <c r="C73" s="17">
        <f>'📋 Product Manager'!D120</f>
        <v/>
      </c>
      <c r="D73" s="18">
        <f>'📋 Product Manager'!E120</f>
        <v/>
      </c>
      <c r="E73" s="73">
        <f>IFERROR(IF('📋 Product Manager'!F120&lt;&gt;"",'📋 Product Manager'!F120,'📋 Product Manager'!G120),"")</f>
        <v/>
      </c>
      <c r="F73" s="74">
        <f>'📋 Product Manager'!G120</f>
        <v/>
      </c>
      <c r="G73" s="17">
        <f>'📋 Product Manager'!H120</f>
        <v/>
      </c>
      <c r="H73" s="73">
        <f>'📋 Product Manager'!I120</f>
        <v/>
      </c>
      <c r="I73" s="73">
        <f>'📋 Product Manager'!J120</f>
        <v/>
      </c>
      <c r="J73" s="70">
        <f>'📋 Product Manager'!K120</f>
        <v/>
      </c>
      <c r="K73" s="46">
        <f>'📋 Product Manager'!L120</f>
        <v/>
      </c>
      <c r="L73" s="75">
        <f>IFERROR(IF('📋 Product Manager'!N120="","",'📋 Product Manager'!N120),"")</f>
        <v/>
      </c>
    </row>
    <row r="74" ht="15" customHeight="1">
      <c r="A74" s="67" t="n">
        <v>55</v>
      </c>
      <c r="B74" s="13">
        <f>'📋 Product Manager'!B121</f>
        <v/>
      </c>
      <c r="C74" s="13">
        <f>'📋 Product Manager'!D121</f>
        <v/>
      </c>
      <c r="D74" s="14">
        <f>'📋 Product Manager'!E121</f>
        <v/>
      </c>
      <c r="E74" s="68">
        <f>IFERROR(IF('📋 Product Manager'!F121&lt;&gt;"",'📋 Product Manager'!F121,'📋 Product Manager'!G121),"")</f>
        <v/>
      </c>
      <c r="F74" s="69">
        <f>'📋 Product Manager'!G121</f>
        <v/>
      </c>
      <c r="G74" s="13">
        <f>'📋 Product Manager'!H121</f>
        <v/>
      </c>
      <c r="H74" s="68">
        <f>'📋 Product Manager'!I121</f>
        <v/>
      </c>
      <c r="I74" s="68">
        <f>'📋 Product Manager'!J121</f>
        <v/>
      </c>
      <c r="J74" s="70">
        <f>'📋 Product Manager'!K121</f>
        <v/>
      </c>
      <c r="K74" s="42">
        <f>'📋 Product Manager'!L121</f>
        <v/>
      </c>
      <c r="L74" s="71">
        <f>IFERROR(IF('📋 Product Manager'!N121="","",'📋 Product Manager'!N121),"")</f>
        <v/>
      </c>
    </row>
    <row r="75" ht="16" customHeight="1">
      <c r="A75" s="66">
        <f>IFERROR("  MOC: "&amp;'📋 Product Manager'!D122, "")</f>
        <v/>
      </c>
    </row>
    <row r="76" ht="15" customHeight="1">
      <c r="A76" s="72" t="n">
        <v>56</v>
      </c>
      <c r="B76" s="17">
        <f>'📋 Product Manager'!B122</f>
        <v/>
      </c>
      <c r="C76" s="17">
        <f>'📋 Product Manager'!D122</f>
        <v/>
      </c>
      <c r="D76" s="18">
        <f>'📋 Product Manager'!E122</f>
        <v/>
      </c>
      <c r="E76" s="73">
        <f>IFERROR(IF('📋 Product Manager'!F122&lt;&gt;"",'📋 Product Manager'!F122,'📋 Product Manager'!G122),"")</f>
        <v/>
      </c>
      <c r="F76" s="74">
        <f>'📋 Product Manager'!G122</f>
        <v/>
      </c>
      <c r="G76" s="17">
        <f>'📋 Product Manager'!H122</f>
        <v/>
      </c>
      <c r="H76" s="73">
        <f>'📋 Product Manager'!I122</f>
        <v/>
      </c>
      <c r="I76" s="73">
        <f>'📋 Product Manager'!J122</f>
        <v/>
      </c>
      <c r="J76" s="70">
        <f>'📋 Product Manager'!K122</f>
        <v/>
      </c>
      <c r="K76" s="46">
        <f>'📋 Product Manager'!L122</f>
        <v/>
      </c>
      <c r="L76" s="75">
        <f>IFERROR(IF('📋 Product Manager'!N122="","",'📋 Product Manager'!N122),"")</f>
        <v/>
      </c>
    </row>
    <row r="77" ht="15" customHeight="1">
      <c r="A77" s="67" t="n">
        <v>57</v>
      </c>
      <c r="B77" s="13">
        <f>'📋 Product Manager'!B123</f>
        <v/>
      </c>
      <c r="C77" s="13">
        <f>'📋 Product Manager'!D123</f>
        <v/>
      </c>
      <c r="D77" s="14">
        <f>'📋 Product Manager'!E123</f>
        <v/>
      </c>
      <c r="E77" s="68">
        <f>IFERROR(IF('📋 Product Manager'!F123&lt;&gt;"",'📋 Product Manager'!F123,'📋 Product Manager'!G123),"")</f>
        <v/>
      </c>
      <c r="F77" s="69">
        <f>'📋 Product Manager'!G123</f>
        <v/>
      </c>
      <c r="G77" s="13">
        <f>'📋 Product Manager'!H123</f>
        <v/>
      </c>
      <c r="H77" s="68">
        <f>'📋 Product Manager'!I123</f>
        <v/>
      </c>
      <c r="I77" s="68">
        <f>'📋 Product Manager'!J123</f>
        <v/>
      </c>
      <c r="J77" s="70">
        <f>'📋 Product Manager'!K123</f>
        <v/>
      </c>
      <c r="K77" s="42">
        <f>'📋 Product Manager'!L123</f>
        <v/>
      </c>
      <c r="L77" s="71">
        <f>IFERROR(IF('📋 Product Manager'!N123="","",'📋 Product Manager'!N123),"")</f>
        <v/>
      </c>
    </row>
    <row r="78" ht="15" customHeight="1">
      <c r="A78" s="72" t="n">
        <v>58</v>
      </c>
      <c r="B78" s="17">
        <f>'📋 Product Manager'!B124</f>
        <v/>
      </c>
      <c r="C78" s="17">
        <f>'📋 Product Manager'!D124</f>
        <v/>
      </c>
      <c r="D78" s="18">
        <f>'📋 Product Manager'!E124</f>
        <v/>
      </c>
      <c r="E78" s="73">
        <f>IFERROR(IF('📋 Product Manager'!F124&lt;&gt;"",'📋 Product Manager'!F124,'📋 Product Manager'!G124),"")</f>
        <v/>
      </c>
      <c r="F78" s="74">
        <f>'📋 Product Manager'!G124</f>
        <v/>
      </c>
      <c r="G78" s="17">
        <f>'📋 Product Manager'!H124</f>
        <v/>
      </c>
      <c r="H78" s="73">
        <f>'📋 Product Manager'!I124</f>
        <v/>
      </c>
      <c r="I78" s="73">
        <f>'📋 Product Manager'!J124</f>
        <v/>
      </c>
      <c r="J78" s="70">
        <f>'📋 Product Manager'!K124</f>
        <v/>
      </c>
      <c r="K78" s="46">
        <f>'📋 Product Manager'!L124</f>
        <v/>
      </c>
      <c r="L78" s="75">
        <f>IFERROR(IF('📋 Product Manager'!N124="","",'📋 Product Manager'!N124),"")</f>
        <v/>
      </c>
    </row>
    <row r="79" ht="22" customHeight="1">
      <c r="A79" s="64">
        <f>'📋 Product Manager'!B125</f>
        <v/>
      </c>
    </row>
    <row r="80" ht="14" customHeight="1">
      <c r="A80" s="65">
        <f>IFERROR("  Design: "&amp;'📋 Product Manager'!H125&amp;"   ·   Hydro: "&amp;'📋 Product Manager'!I125&amp;" Kg/Cm²", "")</f>
        <v/>
      </c>
    </row>
    <row r="81" ht="16" customHeight="1">
      <c r="A81" s="66">
        <f>IFERROR("  MOC: "&amp;'📋 Product Manager'!D125, "")</f>
        <v/>
      </c>
    </row>
    <row r="82" ht="15" customHeight="1">
      <c r="A82" s="67" t="n">
        <v>59</v>
      </c>
      <c r="B82" s="13">
        <f>'📋 Product Manager'!B125</f>
        <v/>
      </c>
      <c r="C82" s="13">
        <f>'📋 Product Manager'!D125</f>
        <v/>
      </c>
      <c r="D82" s="14">
        <f>'📋 Product Manager'!E125</f>
        <v/>
      </c>
      <c r="E82" s="68">
        <f>IFERROR(IF('📋 Product Manager'!F125&lt;&gt;"",'📋 Product Manager'!F125,'📋 Product Manager'!G125),"")</f>
        <v/>
      </c>
      <c r="F82" s="69">
        <f>'📋 Product Manager'!G125</f>
        <v/>
      </c>
      <c r="G82" s="13">
        <f>'📋 Product Manager'!H125</f>
        <v/>
      </c>
      <c r="H82" s="68">
        <f>'📋 Product Manager'!I125</f>
        <v/>
      </c>
      <c r="I82" s="68">
        <f>'📋 Product Manager'!J125</f>
        <v/>
      </c>
      <c r="J82" s="70">
        <f>'📋 Product Manager'!K125</f>
        <v/>
      </c>
      <c r="K82" s="42">
        <f>'📋 Product Manager'!L125</f>
        <v/>
      </c>
      <c r="L82" s="71">
        <f>IFERROR(IF('📋 Product Manager'!N125="","",'📋 Product Manager'!N125),"")</f>
        <v/>
      </c>
    </row>
    <row r="83" ht="15" customHeight="1">
      <c r="A83" s="72" t="n">
        <v>60</v>
      </c>
      <c r="B83" s="17">
        <f>'📋 Product Manager'!B126</f>
        <v/>
      </c>
      <c r="C83" s="17">
        <f>'📋 Product Manager'!D126</f>
        <v/>
      </c>
      <c r="D83" s="18">
        <f>'📋 Product Manager'!E126</f>
        <v/>
      </c>
      <c r="E83" s="73">
        <f>IFERROR(IF('📋 Product Manager'!F126&lt;&gt;"",'📋 Product Manager'!F126,'📋 Product Manager'!G126),"")</f>
        <v/>
      </c>
      <c r="F83" s="74">
        <f>'📋 Product Manager'!G126</f>
        <v/>
      </c>
      <c r="G83" s="17">
        <f>'📋 Product Manager'!H126</f>
        <v/>
      </c>
      <c r="H83" s="73">
        <f>'📋 Product Manager'!I126</f>
        <v/>
      </c>
      <c r="I83" s="73">
        <f>'📋 Product Manager'!J126</f>
        <v/>
      </c>
      <c r="J83" s="70">
        <f>'📋 Product Manager'!K126</f>
        <v/>
      </c>
      <c r="K83" s="46">
        <f>'📋 Product Manager'!L126</f>
        <v/>
      </c>
      <c r="L83" s="75">
        <f>IFERROR(IF('📋 Product Manager'!N126="","",'📋 Product Manager'!N126),"")</f>
        <v/>
      </c>
    </row>
    <row r="84" ht="15" customHeight="1">
      <c r="A84" s="67" t="n">
        <v>61</v>
      </c>
      <c r="B84" s="13">
        <f>'📋 Product Manager'!B127</f>
        <v/>
      </c>
      <c r="C84" s="13">
        <f>'📋 Product Manager'!D127</f>
        <v/>
      </c>
      <c r="D84" s="14">
        <f>'📋 Product Manager'!E127</f>
        <v/>
      </c>
      <c r="E84" s="68">
        <f>IFERROR(IF('📋 Product Manager'!F127&lt;&gt;"",'📋 Product Manager'!F127,'📋 Product Manager'!G127),"")</f>
        <v/>
      </c>
      <c r="F84" s="69">
        <f>'📋 Product Manager'!G127</f>
        <v/>
      </c>
      <c r="G84" s="13">
        <f>'📋 Product Manager'!H127</f>
        <v/>
      </c>
      <c r="H84" s="68">
        <f>'📋 Product Manager'!I127</f>
        <v/>
      </c>
      <c r="I84" s="68">
        <f>'📋 Product Manager'!J127</f>
        <v/>
      </c>
      <c r="J84" s="70">
        <f>'📋 Product Manager'!K127</f>
        <v/>
      </c>
      <c r="K84" s="42">
        <f>'📋 Product Manager'!L127</f>
        <v/>
      </c>
      <c r="L84" s="71">
        <f>IFERROR(IF('📋 Product Manager'!N127="","",'📋 Product Manager'!N127),"")</f>
        <v/>
      </c>
    </row>
    <row r="85" ht="15" customHeight="1">
      <c r="A85" s="72" t="n">
        <v>62</v>
      </c>
      <c r="B85" s="17">
        <f>'📋 Product Manager'!B128</f>
        <v/>
      </c>
      <c r="C85" s="17">
        <f>'📋 Product Manager'!D128</f>
        <v/>
      </c>
      <c r="D85" s="18">
        <f>'📋 Product Manager'!E128</f>
        <v/>
      </c>
      <c r="E85" s="73">
        <f>IFERROR(IF('📋 Product Manager'!F128&lt;&gt;"",'📋 Product Manager'!F128,'📋 Product Manager'!G128),"")</f>
        <v/>
      </c>
      <c r="F85" s="74">
        <f>'📋 Product Manager'!G128</f>
        <v/>
      </c>
      <c r="G85" s="17">
        <f>'📋 Product Manager'!H128</f>
        <v/>
      </c>
      <c r="H85" s="73">
        <f>'📋 Product Manager'!I128</f>
        <v/>
      </c>
      <c r="I85" s="73">
        <f>'📋 Product Manager'!J128</f>
        <v/>
      </c>
      <c r="J85" s="70">
        <f>'📋 Product Manager'!K128</f>
        <v/>
      </c>
      <c r="K85" s="46">
        <f>'📋 Product Manager'!L128</f>
        <v/>
      </c>
      <c r="L85" s="75">
        <f>IFERROR(IF('📋 Product Manager'!N128="","",'📋 Product Manager'!N128),"")</f>
        <v/>
      </c>
    </row>
    <row r="86" ht="15" customHeight="1">
      <c r="A86" s="67" t="n">
        <v>63</v>
      </c>
      <c r="B86" s="13">
        <f>'📋 Product Manager'!B129</f>
        <v/>
      </c>
      <c r="C86" s="13">
        <f>'📋 Product Manager'!D129</f>
        <v/>
      </c>
      <c r="D86" s="14">
        <f>'📋 Product Manager'!E129</f>
        <v/>
      </c>
      <c r="E86" s="68">
        <f>IFERROR(IF('📋 Product Manager'!F129&lt;&gt;"",'📋 Product Manager'!F129,'📋 Product Manager'!G129),"")</f>
        <v/>
      </c>
      <c r="F86" s="69">
        <f>'📋 Product Manager'!G129</f>
        <v/>
      </c>
      <c r="G86" s="13">
        <f>'📋 Product Manager'!H129</f>
        <v/>
      </c>
      <c r="H86" s="68">
        <f>'📋 Product Manager'!I129</f>
        <v/>
      </c>
      <c r="I86" s="68">
        <f>'📋 Product Manager'!J129</f>
        <v/>
      </c>
      <c r="J86" s="70">
        <f>'📋 Product Manager'!K129</f>
        <v/>
      </c>
      <c r="K86" s="42">
        <f>'📋 Product Manager'!L129</f>
        <v/>
      </c>
      <c r="L86" s="71">
        <f>IFERROR(IF('📋 Product Manager'!N129="","",'📋 Product Manager'!N129),"")</f>
        <v/>
      </c>
    </row>
    <row r="87" ht="16" customHeight="1">
      <c r="A87" s="66">
        <f>IFERROR("  MOC: "&amp;'📋 Product Manager'!D130, "")</f>
        <v/>
      </c>
    </row>
    <row r="88" ht="15" customHeight="1">
      <c r="A88" s="72" t="n">
        <v>64</v>
      </c>
      <c r="B88" s="17">
        <f>'📋 Product Manager'!B130</f>
        <v/>
      </c>
      <c r="C88" s="17">
        <f>'📋 Product Manager'!D130</f>
        <v/>
      </c>
      <c r="D88" s="18">
        <f>'📋 Product Manager'!E130</f>
        <v/>
      </c>
      <c r="E88" s="73">
        <f>IFERROR(IF('📋 Product Manager'!F130&lt;&gt;"",'📋 Product Manager'!F130,'📋 Product Manager'!G130),"")</f>
        <v/>
      </c>
      <c r="F88" s="74">
        <f>'📋 Product Manager'!G130</f>
        <v/>
      </c>
      <c r="G88" s="17">
        <f>'📋 Product Manager'!H130</f>
        <v/>
      </c>
      <c r="H88" s="73">
        <f>'📋 Product Manager'!I130</f>
        <v/>
      </c>
      <c r="I88" s="73">
        <f>'📋 Product Manager'!J130</f>
        <v/>
      </c>
      <c r="J88" s="70">
        <f>'📋 Product Manager'!K130</f>
        <v/>
      </c>
      <c r="K88" s="46">
        <f>'📋 Product Manager'!L130</f>
        <v/>
      </c>
      <c r="L88" s="75">
        <f>IFERROR(IF('📋 Product Manager'!N130="","",'📋 Product Manager'!N130),"")</f>
        <v/>
      </c>
    </row>
    <row r="89" ht="15" customHeight="1">
      <c r="A89" s="67" t="n">
        <v>65</v>
      </c>
      <c r="B89" s="13">
        <f>'📋 Product Manager'!B131</f>
        <v/>
      </c>
      <c r="C89" s="13">
        <f>'📋 Product Manager'!D131</f>
        <v/>
      </c>
      <c r="D89" s="14">
        <f>'📋 Product Manager'!E131</f>
        <v/>
      </c>
      <c r="E89" s="68">
        <f>IFERROR(IF('📋 Product Manager'!F131&lt;&gt;"",'📋 Product Manager'!F131,'📋 Product Manager'!G131),"")</f>
        <v/>
      </c>
      <c r="F89" s="69">
        <f>'📋 Product Manager'!G131</f>
        <v/>
      </c>
      <c r="G89" s="13">
        <f>'📋 Product Manager'!H131</f>
        <v/>
      </c>
      <c r="H89" s="68">
        <f>'📋 Product Manager'!I131</f>
        <v/>
      </c>
      <c r="I89" s="68">
        <f>'📋 Product Manager'!J131</f>
        <v/>
      </c>
      <c r="J89" s="70">
        <f>'📋 Product Manager'!K131</f>
        <v/>
      </c>
      <c r="K89" s="42">
        <f>'📋 Product Manager'!L131</f>
        <v/>
      </c>
      <c r="L89" s="71">
        <f>IFERROR(IF('📋 Product Manager'!N131="","",'📋 Product Manager'!N131),"")</f>
        <v/>
      </c>
    </row>
    <row r="90" ht="15" customHeight="1">
      <c r="A90" s="72" t="n">
        <v>66</v>
      </c>
      <c r="B90" s="17">
        <f>'📋 Product Manager'!B132</f>
        <v/>
      </c>
      <c r="C90" s="17">
        <f>'📋 Product Manager'!D132</f>
        <v/>
      </c>
      <c r="D90" s="18">
        <f>'📋 Product Manager'!E132</f>
        <v/>
      </c>
      <c r="E90" s="73">
        <f>IFERROR(IF('📋 Product Manager'!F132&lt;&gt;"",'📋 Product Manager'!F132,'📋 Product Manager'!G132),"")</f>
        <v/>
      </c>
      <c r="F90" s="74">
        <f>'📋 Product Manager'!G132</f>
        <v/>
      </c>
      <c r="G90" s="17">
        <f>'📋 Product Manager'!H132</f>
        <v/>
      </c>
      <c r="H90" s="73">
        <f>'📋 Product Manager'!I132</f>
        <v/>
      </c>
      <c r="I90" s="73">
        <f>'📋 Product Manager'!J132</f>
        <v/>
      </c>
      <c r="J90" s="70">
        <f>'📋 Product Manager'!K132</f>
        <v/>
      </c>
      <c r="K90" s="46">
        <f>'📋 Product Manager'!L132</f>
        <v/>
      </c>
      <c r="L90" s="75">
        <f>IFERROR(IF('📋 Product Manager'!N132="","",'📋 Product Manager'!N132),"")</f>
        <v/>
      </c>
    </row>
    <row r="91" ht="15" customHeight="1">
      <c r="A91" s="67" t="n">
        <v>67</v>
      </c>
      <c r="B91" s="13">
        <f>'📋 Product Manager'!B133</f>
        <v/>
      </c>
      <c r="C91" s="13">
        <f>'📋 Product Manager'!D133</f>
        <v/>
      </c>
      <c r="D91" s="14">
        <f>'📋 Product Manager'!E133</f>
        <v/>
      </c>
      <c r="E91" s="68">
        <f>IFERROR(IF('📋 Product Manager'!F133&lt;&gt;"",'📋 Product Manager'!F133,'📋 Product Manager'!G133),"")</f>
        <v/>
      </c>
      <c r="F91" s="69">
        <f>'📋 Product Manager'!G133</f>
        <v/>
      </c>
      <c r="G91" s="13">
        <f>'📋 Product Manager'!H133</f>
        <v/>
      </c>
      <c r="H91" s="68">
        <f>'📋 Product Manager'!I133</f>
        <v/>
      </c>
      <c r="I91" s="68">
        <f>'📋 Product Manager'!J133</f>
        <v/>
      </c>
      <c r="J91" s="70">
        <f>'📋 Product Manager'!K133</f>
        <v/>
      </c>
      <c r="K91" s="42">
        <f>'📋 Product Manager'!L133</f>
        <v/>
      </c>
      <c r="L91" s="71">
        <f>IFERROR(IF('📋 Product Manager'!N133="","",'📋 Product Manager'!N133),"")</f>
        <v/>
      </c>
    </row>
    <row r="92" ht="15" customHeight="1">
      <c r="A92" s="72" t="n">
        <v>68</v>
      </c>
      <c r="B92" s="17">
        <f>'📋 Product Manager'!B134</f>
        <v/>
      </c>
      <c r="C92" s="17">
        <f>'📋 Product Manager'!D134</f>
        <v/>
      </c>
      <c r="D92" s="18">
        <f>'📋 Product Manager'!E134</f>
        <v/>
      </c>
      <c r="E92" s="73">
        <f>IFERROR(IF('📋 Product Manager'!F134&lt;&gt;"",'📋 Product Manager'!F134,'📋 Product Manager'!G134),"")</f>
        <v/>
      </c>
      <c r="F92" s="74">
        <f>'📋 Product Manager'!G134</f>
        <v/>
      </c>
      <c r="G92" s="17">
        <f>'📋 Product Manager'!H134</f>
        <v/>
      </c>
      <c r="H92" s="73">
        <f>'📋 Product Manager'!I134</f>
        <v/>
      </c>
      <c r="I92" s="73">
        <f>'📋 Product Manager'!J134</f>
        <v/>
      </c>
      <c r="J92" s="70">
        <f>'📋 Product Manager'!K134</f>
        <v/>
      </c>
      <c r="K92" s="46">
        <f>'📋 Product Manager'!L134</f>
        <v/>
      </c>
      <c r="L92" s="75">
        <f>IFERROR(IF('📋 Product Manager'!N134="","",'📋 Product Manager'!N134),"")</f>
        <v/>
      </c>
    </row>
    <row r="94">
      <c r="A94" s="76" t="inlineStr">
        <is>
          <t>← Back to Product Manager</t>
        </is>
      </c>
      <c r="E94" s="76" t="inlineStr">
        <is>
          <t>← Price Summary</t>
        </is>
      </c>
    </row>
  </sheetData>
  <mergeCells count="24">
    <mergeCell ref="A7:L7"/>
    <mergeCell ref="A75:L75"/>
    <mergeCell ref="A80:L80"/>
    <mergeCell ref="A56:L56"/>
    <mergeCell ref="A55:L55"/>
    <mergeCell ref="A57:L57"/>
    <mergeCell ref="A2:L2"/>
    <mergeCell ref="A33:L33"/>
    <mergeCell ref="A71:L71"/>
    <mergeCell ref="A5:L5"/>
    <mergeCell ref="A32:L32"/>
    <mergeCell ref="A81:L81"/>
    <mergeCell ref="A94:D94"/>
    <mergeCell ref="A19:L19"/>
    <mergeCell ref="A63:L63"/>
    <mergeCell ref="A31:L31"/>
    <mergeCell ref="A44:L44"/>
    <mergeCell ref="E94:H94"/>
    <mergeCell ref="A1:L1"/>
    <mergeCell ref="A6:L6"/>
    <mergeCell ref="A70:L70"/>
    <mergeCell ref="A79:L79"/>
    <mergeCell ref="A69:L69"/>
    <mergeCell ref="A87:L87"/>
  </mergeCells>
  <hyperlinks>
    <hyperlink xmlns:r="http://schemas.openxmlformats.org/officeDocument/2006/relationships" ref="A94" r:id="rId1"/>
    <hyperlink xmlns:r="http://schemas.openxmlformats.org/officeDocument/2006/relationships" ref="E94" r:id="rId2"/>
  </hyperlinks>
  <pageMargins left="0.75" right="0.75" top="1" bottom="1" header="0.5" footer="0.5"/>
  <pageSetup orientation="landscape" fitToWidth="1"/>
</worksheet>
</file>

<file path=xl/worksheets/sheet11.xml><?xml version="1.0" encoding="utf-8"?>
<worksheet xmlns="http://schemas.openxmlformats.org/spreadsheetml/2006/main">
  <sheetPr>
    <tabColor rgb="0000695C"/>
    <outlinePr summaryBelow="1" summaryRight="1"/>
    <pageSetUpPr fitToPage="1"/>
  </sheetPr>
  <dimension ref="A1:L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PISTON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83" t="inlineStr">
        <is>
          <t>Sr.</t>
        </is>
      </c>
      <c r="B4" s="83" t="inlineStr">
        <is>
          <t>Product Description</t>
        </is>
      </c>
      <c r="C4" s="83" t="inlineStr">
        <is>
          <t>MOC / Material</t>
        </is>
      </c>
      <c r="D4" s="83" t="inlineStr">
        <is>
          <t>Size</t>
        </is>
      </c>
      <c r="E4" s="83" t="inlineStr">
        <is>
          <t>Pressure Class</t>
        </is>
      </c>
      <c r="F4" s="83" t="inlineStr">
        <is>
          <t>End Connection</t>
        </is>
      </c>
      <c r="G4" s="83" t="inlineStr">
        <is>
          <t>Design Standard</t>
        </is>
      </c>
      <c r="H4" s="83" t="inlineStr">
        <is>
          <t>Hydro Test</t>
        </is>
      </c>
      <c r="I4" s="83" t="inlineStr">
        <is>
          <t>Unit</t>
        </is>
      </c>
      <c r="J4" s="83" t="inlineStr">
        <is>
          <t>Rate (INR)</t>
        </is>
      </c>
      <c r="K4" s="83" t="inlineStr">
        <is>
          <t>Status</t>
        </is>
      </c>
      <c r="L4" s="83" t="inlineStr">
        <is>
          <t>Remarks</t>
        </is>
      </c>
    </row>
    <row r="5" ht="22" customHeight="1">
      <c r="A5" s="64">
        <f>'📋 Product Manager'!B164</f>
        <v/>
      </c>
    </row>
    <row r="6" ht="14" customHeight="1">
      <c r="A6" s="65">
        <f>IFERROR("  Design: "&amp;'📋 Product Manager'!H164&amp;"   ·   Hydro: "&amp;'📋 Product Manager'!I164&amp;" Kg/Cm²", "")</f>
        <v/>
      </c>
    </row>
    <row r="7" ht="16" customHeight="1">
      <c r="A7" s="66">
        <f>IFERROR("  MOC: "&amp;'📋 Product Manager'!D164, "")</f>
        <v/>
      </c>
    </row>
    <row r="8" ht="15" customHeight="1">
      <c r="A8" s="67" t="n">
        <v>1</v>
      </c>
      <c r="B8" s="13">
        <f>'📋 Product Manager'!B164</f>
        <v/>
      </c>
      <c r="C8" s="13">
        <f>'📋 Product Manager'!D164</f>
        <v/>
      </c>
      <c r="D8" s="14">
        <f>'📋 Product Manager'!E164</f>
        <v/>
      </c>
      <c r="E8" s="68">
        <f>IFERROR(IF('📋 Product Manager'!F164&lt;&gt;"",'📋 Product Manager'!F164,'📋 Product Manager'!G164),"")</f>
        <v/>
      </c>
      <c r="F8" s="69">
        <f>'📋 Product Manager'!G164</f>
        <v/>
      </c>
      <c r="G8" s="13">
        <f>'📋 Product Manager'!H164</f>
        <v/>
      </c>
      <c r="H8" s="68">
        <f>'📋 Product Manager'!I164</f>
        <v/>
      </c>
      <c r="I8" s="68">
        <f>'📋 Product Manager'!J164</f>
        <v/>
      </c>
      <c r="J8" s="70">
        <f>'📋 Product Manager'!K164</f>
        <v/>
      </c>
      <c r="K8" s="42">
        <f>'📋 Product Manager'!L164</f>
        <v/>
      </c>
      <c r="L8" s="71">
        <f>IFERROR(IF('📋 Product Manager'!N164="","",'📋 Product Manager'!N164),"")</f>
        <v/>
      </c>
    </row>
    <row r="9" ht="15" customHeight="1">
      <c r="A9" s="72" t="n">
        <v>2</v>
      </c>
      <c r="B9" s="17">
        <f>'📋 Product Manager'!B165</f>
        <v/>
      </c>
      <c r="C9" s="17">
        <f>'📋 Product Manager'!D165</f>
        <v/>
      </c>
      <c r="D9" s="18">
        <f>'📋 Product Manager'!E165</f>
        <v/>
      </c>
      <c r="E9" s="73">
        <f>IFERROR(IF('📋 Product Manager'!F165&lt;&gt;"",'📋 Product Manager'!F165,'📋 Product Manager'!G165),"")</f>
        <v/>
      </c>
      <c r="F9" s="74">
        <f>'📋 Product Manager'!G165</f>
        <v/>
      </c>
      <c r="G9" s="17">
        <f>'📋 Product Manager'!H165</f>
        <v/>
      </c>
      <c r="H9" s="73">
        <f>'📋 Product Manager'!I165</f>
        <v/>
      </c>
      <c r="I9" s="73">
        <f>'📋 Product Manager'!J165</f>
        <v/>
      </c>
      <c r="J9" s="70">
        <f>'📋 Product Manager'!K165</f>
        <v/>
      </c>
      <c r="K9" s="46">
        <f>'📋 Product Manager'!L165</f>
        <v/>
      </c>
      <c r="L9" s="75">
        <f>IFERROR(IF('📋 Product Manager'!N165="","",'📋 Product Manager'!N165),"")</f>
        <v/>
      </c>
    </row>
    <row r="10" ht="15" customHeight="1">
      <c r="A10" s="67" t="n">
        <v>3</v>
      </c>
      <c r="B10" s="13">
        <f>'📋 Product Manager'!B166</f>
        <v/>
      </c>
      <c r="C10" s="13">
        <f>'📋 Product Manager'!D166</f>
        <v/>
      </c>
      <c r="D10" s="14">
        <f>'📋 Product Manager'!E166</f>
        <v/>
      </c>
      <c r="E10" s="68">
        <f>IFERROR(IF('📋 Product Manager'!F166&lt;&gt;"",'📋 Product Manager'!F166,'📋 Product Manager'!G166),"")</f>
        <v/>
      </c>
      <c r="F10" s="69">
        <f>'📋 Product Manager'!G166</f>
        <v/>
      </c>
      <c r="G10" s="13">
        <f>'📋 Product Manager'!H166</f>
        <v/>
      </c>
      <c r="H10" s="68">
        <f>'📋 Product Manager'!I166</f>
        <v/>
      </c>
      <c r="I10" s="68">
        <f>'📋 Product Manager'!J166</f>
        <v/>
      </c>
      <c r="J10" s="70">
        <f>'📋 Product Manager'!K166</f>
        <v/>
      </c>
      <c r="K10" s="42">
        <f>'📋 Product Manager'!L166</f>
        <v/>
      </c>
      <c r="L10" s="71">
        <f>IFERROR(IF('📋 Product Manager'!N166="","",'📋 Product Manager'!N166),"")</f>
        <v/>
      </c>
    </row>
    <row r="11" ht="15" customHeight="1">
      <c r="A11" s="72" t="n">
        <v>4</v>
      </c>
      <c r="B11" s="17">
        <f>'📋 Product Manager'!B167</f>
        <v/>
      </c>
      <c r="C11" s="17">
        <f>'📋 Product Manager'!D167</f>
        <v/>
      </c>
      <c r="D11" s="18">
        <f>'📋 Product Manager'!E167</f>
        <v/>
      </c>
      <c r="E11" s="73">
        <f>IFERROR(IF('📋 Product Manager'!F167&lt;&gt;"",'📋 Product Manager'!F167,'📋 Product Manager'!G167),"")</f>
        <v/>
      </c>
      <c r="F11" s="74">
        <f>'📋 Product Manager'!G167</f>
        <v/>
      </c>
      <c r="G11" s="17">
        <f>'📋 Product Manager'!H167</f>
        <v/>
      </c>
      <c r="H11" s="73">
        <f>'📋 Product Manager'!I167</f>
        <v/>
      </c>
      <c r="I11" s="73">
        <f>'📋 Product Manager'!J167</f>
        <v/>
      </c>
      <c r="J11" s="70">
        <f>'📋 Product Manager'!K167</f>
        <v/>
      </c>
      <c r="K11" s="46">
        <f>'📋 Product Manager'!L167</f>
        <v/>
      </c>
      <c r="L11" s="75">
        <f>IFERROR(IF('📋 Product Manager'!N167="","",'📋 Product Manager'!N167),"")</f>
        <v/>
      </c>
    </row>
    <row r="12" ht="22" customHeight="1">
      <c r="A12" s="64">
        <f>'📋 Product Manager'!B168</f>
        <v/>
      </c>
    </row>
    <row r="13" ht="14" customHeight="1">
      <c r="A13" s="65">
        <f>IFERROR("  Design: "&amp;'📋 Product Manager'!H168&amp;"   ·   Hydro: "&amp;'📋 Product Manager'!I168&amp;" Kg/Cm²", "")</f>
        <v/>
      </c>
    </row>
    <row r="14" ht="16" customHeight="1">
      <c r="A14" s="66">
        <f>IFERROR("  MOC: "&amp;'📋 Product Manager'!D168, "")</f>
        <v/>
      </c>
    </row>
    <row r="15" ht="15" customHeight="1">
      <c r="A15" s="67" t="n">
        <v>5</v>
      </c>
      <c r="B15" s="13">
        <f>'📋 Product Manager'!B168</f>
        <v/>
      </c>
      <c r="C15" s="13">
        <f>'📋 Product Manager'!D168</f>
        <v/>
      </c>
      <c r="D15" s="14">
        <f>'📋 Product Manager'!E168</f>
        <v/>
      </c>
      <c r="E15" s="68">
        <f>IFERROR(IF('📋 Product Manager'!F168&lt;&gt;"",'📋 Product Manager'!F168,'📋 Product Manager'!G168),"")</f>
        <v/>
      </c>
      <c r="F15" s="69">
        <f>'📋 Product Manager'!G168</f>
        <v/>
      </c>
      <c r="G15" s="13">
        <f>'📋 Product Manager'!H168</f>
        <v/>
      </c>
      <c r="H15" s="68">
        <f>'📋 Product Manager'!I168</f>
        <v/>
      </c>
      <c r="I15" s="68">
        <f>'📋 Product Manager'!J168</f>
        <v/>
      </c>
      <c r="J15" s="70">
        <f>'📋 Product Manager'!K168</f>
        <v/>
      </c>
      <c r="K15" s="42">
        <f>'📋 Product Manager'!L168</f>
        <v/>
      </c>
      <c r="L15" s="71">
        <f>IFERROR(IF('📋 Product Manager'!N168="","",'📋 Product Manager'!N168),"")</f>
        <v/>
      </c>
    </row>
    <row r="16" ht="15" customHeight="1">
      <c r="A16" s="72" t="n">
        <v>6</v>
      </c>
      <c r="B16" s="17">
        <f>'📋 Product Manager'!B169</f>
        <v/>
      </c>
      <c r="C16" s="17">
        <f>'📋 Product Manager'!D169</f>
        <v/>
      </c>
      <c r="D16" s="18">
        <f>'📋 Product Manager'!E169</f>
        <v/>
      </c>
      <c r="E16" s="73">
        <f>IFERROR(IF('📋 Product Manager'!F169&lt;&gt;"",'📋 Product Manager'!F169,'📋 Product Manager'!G169),"")</f>
        <v/>
      </c>
      <c r="F16" s="74">
        <f>'📋 Product Manager'!G169</f>
        <v/>
      </c>
      <c r="G16" s="17">
        <f>'📋 Product Manager'!H169</f>
        <v/>
      </c>
      <c r="H16" s="73">
        <f>'📋 Product Manager'!I169</f>
        <v/>
      </c>
      <c r="I16" s="73">
        <f>'📋 Product Manager'!J169</f>
        <v/>
      </c>
      <c r="J16" s="70">
        <f>'📋 Product Manager'!K169</f>
        <v/>
      </c>
      <c r="K16" s="46">
        <f>'📋 Product Manager'!L169</f>
        <v/>
      </c>
      <c r="L16" s="75">
        <f>IFERROR(IF('📋 Product Manager'!N169="","",'📋 Product Manager'!N169),"")</f>
        <v/>
      </c>
    </row>
    <row r="17" ht="15" customHeight="1">
      <c r="A17" s="67" t="n">
        <v>7</v>
      </c>
      <c r="B17" s="13">
        <f>'📋 Product Manager'!B170</f>
        <v/>
      </c>
      <c r="C17" s="13">
        <f>'📋 Product Manager'!D170</f>
        <v/>
      </c>
      <c r="D17" s="14">
        <f>'📋 Product Manager'!E170</f>
        <v/>
      </c>
      <c r="E17" s="68">
        <f>IFERROR(IF('📋 Product Manager'!F170&lt;&gt;"",'📋 Product Manager'!F170,'📋 Product Manager'!G170),"")</f>
        <v/>
      </c>
      <c r="F17" s="69">
        <f>'📋 Product Manager'!G170</f>
        <v/>
      </c>
      <c r="G17" s="13">
        <f>'📋 Product Manager'!H170</f>
        <v/>
      </c>
      <c r="H17" s="68">
        <f>'📋 Product Manager'!I170</f>
        <v/>
      </c>
      <c r="I17" s="68">
        <f>'📋 Product Manager'!J170</f>
        <v/>
      </c>
      <c r="J17" s="70">
        <f>'📋 Product Manager'!K170</f>
        <v/>
      </c>
      <c r="K17" s="42">
        <f>'📋 Product Manager'!L170</f>
        <v/>
      </c>
      <c r="L17" s="71">
        <f>IFERROR(IF('📋 Product Manager'!N170="","",'📋 Product Manager'!N170),"")</f>
        <v/>
      </c>
    </row>
    <row r="18" ht="15" customHeight="1">
      <c r="A18" s="72" t="n">
        <v>8</v>
      </c>
      <c r="B18" s="17">
        <f>'📋 Product Manager'!B171</f>
        <v/>
      </c>
      <c r="C18" s="17">
        <f>'📋 Product Manager'!D171</f>
        <v/>
      </c>
      <c r="D18" s="18">
        <f>'📋 Product Manager'!E171</f>
        <v/>
      </c>
      <c r="E18" s="73">
        <f>IFERROR(IF('📋 Product Manager'!F171&lt;&gt;"",'📋 Product Manager'!F171,'📋 Product Manager'!G171),"")</f>
        <v/>
      </c>
      <c r="F18" s="74">
        <f>'📋 Product Manager'!G171</f>
        <v/>
      </c>
      <c r="G18" s="17">
        <f>'📋 Product Manager'!H171</f>
        <v/>
      </c>
      <c r="H18" s="73">
        <f>'📋 Product Manager'!I171</f>
        <v/>
      </c>
      <c r="I18" s="73">
        <f>'📋 Product Manager'!J171</f>
        <v/>
      </c>
      <c r="J18" s="70">
        <f>'📋 Product Manager'!K171</f>
        <v/>
      </c>
      <c r="K18" s="46">
        <f>'📋 Product Manager'!L171</f>
        <v/>
      </c>
      <c r="L18" s="75">
        <f>IFERROR(IF('📋 Product Manager'!N171="","",'📋 Product Manager'!N171),"")</f>
        <v/>
      </c>
    </row>
    <row r="19" ht="15" customHeight="1">
      <c r="A19" s="67" t="n">
        <v>9</v>
      </c>
      <c r="B19" s="13">
        <f>'📋 Product Manager'!B172</f>
        <v/>
      </c>
      <c r="C19" s="13">
        <f>'📋 Product Manager'!D172</f>
        <v/>
      </c>
      <c r="D19" s="14">
        <f>'📋 Product Manager'!E172</f>
        <v/>
      </c>
      <c r="E19" s="68">
        <f>IFERROR(IF('📋 Product Manager'!F172&lt;&gt;"",'📋 Product Manager'!F172,'📋 Product Manager'!G172),"")</f>
        <v/>
      </c>
      <c r="F19" s="69">
        <f>'📋 Product Manager'!G172</f>
        <v/>
      </c>
      <c r="G19" s="13">
        <f>'📋 Product Manager'!H172</f>
        <v/>
      </c>
      <c r="H19" s="68">
        <f>'📋 Product Manager'!I172</f>
        <v/>
      </c>
      <c r="I19" s="68">
        <f>'📋 Product Manager'!J172</f>
        <v/>
      </c>
      <c r="J19" s="70">
        <f>'📋 Product Manager'!K172</f>
        <v/>
      </c>
      <c r="K19" s="42">
        <f>'📋 Product Manager'!L172</f>
        <v/>
      </c>
      <c r="L19" s="71">
        <f>IFERROR(IF('📋 Product Manager'!N172="","",'📋 Product Manager'!N172),"")</f>
        <v/>
      </c>
    </row>
    <row r="21">
      <c r="A21" s="76" t="inlineStr">
        <is>
          <t>← Back to Product Manager</t>
        </is>
      </c>
      <c r="E21" s="76" t="inlineStr">
        <is>
          <t>← Price Summary</t>
        </is>
      </c>
    </row>
  </sheetData>
  <mergeCells count="10">
    <mergeCell ref="A2:L2"/>
    <mergeCell ref="A7:L7"/>
    <mergeCell ref="A1:L1"/>
    <mergeCell ref="A5:L5"/>
    <mergeCell ref="A21:D21"/>
    <mergeCell ref="A13:L13"/>
    <mergeCell ref="A14:L14"/>
    <mergeCell ref="E21:H21"/>
    <mergeCell ref="A6:L6"/>
    <mergeCell ref="A12:L12"/>
  </mergeCells>
  <hyperlinks>
    <hyperlink xmlns:r="http://schemas.openxmlformats.org/officeDocument/2006/relationships" ref="A21" r:id="rId1"/>
    <hyperlink xmlns:r="http://schemas.openxmlformats.org/officeDocument/2006/relationships" ref="E21" r:id="rId2"/>
  </hyperlinks>
  <pageMargins left="0.75" right="0.75" top="1" bottom="1" header="0.5" footer="0.5"/>
  <pageSetup orientation="landscape" fitToWidth="1"/>
</worksheet>
</file>

<file path=xl/worksheets/sheet12.xml><?xml version="1.0" encoding="utf-8"?>
<worksheet xmlns="http://schemas.openxmlformats.org/spreadsheetml/2006/main">
  <sheetPr>
    <tabColor rgb="00C62828"/>
    <outlinePr summaryBelow="1" summaryRight="1"/>
    <pageSetUpPr fitToPage="1"/>
  </sheetPr>
  <dimension ref="A1:L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2" customWidth="1" min="2" max="2"/>
    <col width="32" customWidth="1" min="3" max="3"/>
    <col width="10" customWidth="1" min="4" max="4"/>
    <col width="14" customWidth="1" min="5" max="5"/>
    <col width="18" customWidth="1" min="6" max="6"/>
    <col width="32" customWidth="1" min="7" max="7"/>
    <col width="22" customWidth="1" min="8" max="8"/>
    <col width="7" customWidth="1" min="9" max="9"/>
    <col width="14" customWidth="1" min="10" max="10"/>
    <col width="9" customWidth="1" min="11" max="11"/>
    <col width="20" customWidth="1" min="12" max="12"/>
  </cols>
  <sheetData>
    <row r="1" ht="28" customHeight="1">
      <c r="A1" s="1" t="inlineStr">
        <is>
          <t>SUNFORD VALVES COMPANY  ·  BUTTERFLY VALVES  ·  PRICE LIST</t>
        </is>
      </c>
    </row>
    <row r="2" ht="14" customHeight="1">
      <c r="A2" s="62" t="inlineStr">
        <is>
          <t>⚡ LIVE — All data below is formula-linked to 📋 Product Manager. Edit prices there, they update here automatically.</t>
        </is>
      </c>
    </row>
    <row r="3" ht="4" customHeight="1"/>
    <row r="4" ht="32" customHeight="1">
      <c r="A4" s="84" t="inlineStr">
        <is>
          <t>Sr.</t>
        </is>
      </c>
      <c r="B4" s="84" t="inlineStr">
        <is>
          <t>Product Description</t>
        </is>
      </c>
      <c r="C4" s="84" t="inlineStr">
        <is>
          <t>MOC / Material</t>
        </is>
      </c>
      <c r="D4" s="84" t="inlineStr">
        <is>
          <t>Size</t>
        </is>
      </c>
      <c r="E4" s="84" t="inlineStr">
        <is>
          <t>Pressure Class</t>
        </is>
      </c>
      <c r="F4" s="84" t="inlineStr">
        <is>
          <t>End Connection</t>
        </is>
      </c>
      <c r="G4" s="84" t="inlineStr">
        <is>
          <t>Design Standard</t>
        </is>
      </c>
      <c r="H4" s="84" t="inlineStr">
        <is>
          <t>Hydro Test</t>
        </is>
      </c>
      <c r="I4" s="84" t="inlineStr">
        <is>
          <t>Unit</t>
        </is>
      </c>
      <c r="J4" s="84" t="inlineStr">
        <is>
          <t>Rate (INR)</t>
        </is>
      </c>
      <c r="K4" s="84" t="inlineStr">
        <is>
          <t>Status</t>
        </is>
      </c>
      <c r="L4" s="84" t="inlineStr">
        <is>
          <t>Remarks</t>
        </is>
      </c>
    </row>
    <row r="5" ht="22" customHeight="1">
      <c r="A5" s="64">
        <f>'📋 Product Manager'!B173</f>
        <v/>
      </c>
    </row>
    <row r="6" ht="14" customHeight="1">
      <c r="A6" s="65">
        <f>IFERROR("  Design: "&amp;'📋 Product Manager'!H173&amp;"   ·   Hydro: "&amp;'📋 Product Manager'!I173&amp;" Kg/Cm²", "")</f>
        <v/>
      </c>
    </row>
    <row r="7" ht="16" customHeight="1">
      <c r="A7" s="66">
        <f>IFERROR("  MOC: "&amp;'📋 Product Manager'!D173, "")</f>
        <v/>
      </c>
    </row>
    <row r="8" ht="15" customHeight="1">
      <c r="A8" s="67" t="n">
        <v>1</v>
      </c>
      <c r="B8" s="13">
        <f>'📋 Product Manager'!B173</f>
        <v/>
      </c>
      <c r="C8" s="13">
        <f>'📋 Product Manager'!D173</f>
        <v/>
      </c>
      <c r="D8" s="14">
        <f>'📋 Product Manager'!E173</f>
        <v/>
      </c>
      <c r="E8" s="68">
        <f>IFERROR(IF('📋 Product Manager'!F173&lt;&gt;"",'📋 Product Manager'!F173,'📋 Product Manager'!G173),"")</f>
        <v/>
      </c>
      <c r="F8" s="69">
        <f>'📋 Product Manager'!G173</f>
        <v/>
      </c>
      <c r="G8" s="13">
        <f>'📋 Product Manager'!H173</f>
        <v/>
      </c>
      <c r="H8" s="68">
        <f>'📋 Product Manager'!I173</f>
        <v/>
      </c>
      <c r="I8" s="68">
        <f>'📋 Product Manager'!J173</f>
        <v/>
      </c>
      <c r="J8" s="70">
        <f>'📋 Product Manager'!K173</f>
        <v/>
      </c>
      <c r="K8" s="42">
        <f>'📋 Product Manager'!L173</f>
        <v/>
      </c>
      <c r="L8" s="71">
        <f>IFERROR(IF('📋 Product Manager'!N173="","",'📋 Product Manager'!N173),"")</f>
        <v/>
      </c>
    </row>
    <row r="9" ht="15" customHeight="1">
      <c r="A9" s="72" t="n">
        <v>2</v>
      </c>
      <c r="B9" s="17">
        <f>'📋 Product Manager'!B174</f>
        <v/>
      </c>
      <c r="C9" s="17">
        <f>'📋 Product Manager'!D174</f>
        <v/>
      </c>
      <c r="D9" s="18">
        <f>'📋 Product Manager'!E174</f>
        <v/>
      </c>
      <c r="E9" s="73">
        <f>IFERROR(IF('📋 Product Manager'!F174&lt;&gt;"",'📋 Product Manager'!F174,'📋 Product Manager'!G174),"")</f>
        <v/>
      </c>
      <c r="F9" s="74">
        <f>'📋 Product Manager'!G174</f>
        <v/>
      </c>
      <c r="G9" s="17">
        <f>'📋 Product Manager'!H174</f>
        <v/>
      </c>
      <c r="H9" s="73">
        <f>'📋 Product Manager'!I174</f>
        <v/>
      </c>
      <c r="I9" s="73">
        <f>'📋 Product Manager'!J174</f>
        <v/>
      </c>
      <c r="J9" s="70">
        <f>'📋 Product Manager'!K174</f>
        <v/>
      </c>
      <c r="K9" s="46">
        <f>'📋 Product Manager'!L174</f>
        <v/>
      </c>
      <c r="L9" s="75">
        <f>IFERROR(IF('📋 Product Manager'!N174="","",'📋 Product Manager'!N174),"")</f>
        <v/>
      </c>
    </row>
    <row r="10" ht="15" customHeight="1">
      <c r="A10" s="67" t="n">
        <v>3</v>
      </c>
      <c r="B10" s="13">
        <f>'📋 Product Manager'!B175</f>
        <v/>
      </c>
      <c r="C10" s="13">
        <f>'📋 Product Manager'!D175</f>
        <v/>
      </c>
      <c r="D10" s="14">
        <f>'📋 Product Manager'!E175</f>
        <v/>
      </c>
      <c r="E10" s="68">
        <f>IFERROR(IF('📋 Product Manager'!F175&lt;&gt;"",'📋 Product Manager'!F175,'📋 Product Manager'!G175),"")</f>
        <v/>
      </c>
      <c r="F10" s="69">
        <f>'📋 Product Manager'!G175</f>
        <v/>
      </c>
      <c r="G10" s="13">
        <f>'📋 Product Manager'!H175</f>
        <v/>
      </c>
      <c r="H10" s="68">
        <f>'📋 Product Manager'!I175</f>
        <v/>
      </c>
      <c r="I10" s="68">
        <f>'📋 Product Manager'!J175</f>
        <v/>
      </c>
      <c r="J10" s="70">
        <f>'📋 Product Manager'!K175</f>
        <v/>
      </c>
      <c r="K10" s="42">
        <f>'📋 Product Manager'!L175</f>
        <v/>
      </c>
      <c r="L10" s="71">
        <f>IFERROR(IF('📋 Product Manager'!N175="","",'📋 Product Manager'!N175),"")</f>
        <v/>
      </c>
    </row>
    <row r="11" ht="15" customHeight="1">
      <c r="A11" s="72" t="n">
        <v>4</v>
      </c>
      <c r="B11" s="17">
        <f>'📋 Product Manager'!B176</f>
        <v/>
      </c>
      <c r="C11" s="17">
        <f>'📋 Product Manager'!D176</f>
        <v/>
      </c>
      <c r="D11" s="18">
        <f>'📋 Product Manager'!E176</f>
        <v/>
      </c>
      <c r="E11" s="73">
        <f>IFERROR(IF('📋 Product Manager'!F176&lt;&gt;"",'📋 Product Manager'!F176,'📋 Product Manager'!G176),"")</f>
        <v/>
      </c>
      <c r="F11" s="74">
        <f>'📋 Product Manager'!G176</f>
        <v/>
      </c>
      <c r="G11" s="17">
        <f>'📋 Product Manager'!H176</f>
        <v/>
      </c>
      <c r="H11" s="73">
        <f>'📋 Product Manager'!I176</f>
        <v/>
      </c>
      <c r="I11" s="73">
        <f>'📋 Product Manager'!J176</f>
        <v/>
      </c>
      <c r="J11" s="70">
        <f>'📋 Product Manager'!K176</f>
        <v/>
      </c>
      <c r="K11" s="46">
        <f>'📋 Product Manager'!L176</f>
        <v/>
      </c>
      <c r="L11" s="75">
        <f>IFERROR(IF('📋 Product Manager'!N176="","",'📋 Product Manager'!N176),"")</f>
        <v/>
      </c>
    </row>
    <row r="12" ht="15" customHeight="1">
      <c r="A12" s="67" t="n">
        <v>5</v>
      </c>
      <c r="B12" s="13">
        <f>'📋 Product Manager'!B177</f>
        <v/>
      </c>
      <c r="C12" s="13">
        <f>'📋 Product Manager'!D177</f>
        <v/>
      </c>
      <c r="D12" s="14">
        <f>'📋 Product Manager'!E177</f>
        <v/>
      </c>
      <c r="E12" s="68">
        <f>IFERROR(IF('📋 Product Manager'!F177&lt;&gt;"",'📋 Product Manager'!F177,'📋 Product Manager'!G177),"")</f>
        <v/>
      </c>
      <c r="F12" s="69">
        <f>'📋 Product Manager'!G177</f>
        <v/>
      </c>
      <c r="G12" s="13">
        <f>'📋 Product Manager'!H177</f>
        <v/>
      </c>
      <c r="H12" s="68">
        <f>'📋 Product Manager'!I177</f>
        <v/>
      </c>
      <c r="I12" s="68">
        <f>'📋 Product Manager'!J177</f>
        <v/>
      </c>
      <c r="J12" s="70">
        <f>'📋 Product Manager'!K177</f>
        <v/>
      </c>
      <c r="K12" s="42">
        <f>'📋 Product Manager'!L177</f>
        <v/>
      </c>
      <c r="L12" s="71">
        <f>IFERROR(IF('📋 Product Manager'!N177="","",'📋 Product Manager'!N177),"")</f>
        <v/>
      </c>
    </row>
    <row r="13" ht="15" customHeight="1">
      <c r="A13" s="72" t="n">
        <v>6</v>
      </c>
      <c r="B13" s="17">
        <f>'📋 Product Manager'!B178</f>
        <v/>
      </c>
      <c r="C13" s="17">
        <f>'📋 Product Manager'!D178</f>
        <v/>
      </c>
      <c r="D13" s="18">
        <f>'📋 Product Manager'!E178</f>
        <v/>
      </c>
      <c r="E13" s="73">
        <f>IFERROR(IF('📋 Product Manager'!F178&lt;&gt;"",'📋 Product Manager'!F178,'📋 Product Manager'!G178),"")</f>
        <v/>
      </c>
      <c r="F13" s="74">
        <f>'📋 Product Manager'!G178</f>
        <v/>
      </c>
      <c r="G13" s="17">
        <f>'📋 Product Manager'!H178</f>
        <v/>
      </c>
      <c r="H13" s="73">
        <f>'📋 Product Manager'!I178</f>
        <v/>
      </c>
      <c r="I13" s="73">
        <f>'📋 Product Manager'!J178</f>
        <v/>
      </c>
      <c r="J13" s="70">
        <f>'📋 Product Manager'!K178</f>
        <v/>
      </c>
      <c r="K13" s="46">
        <f>'📋 Product Manager'!L178</f>
        <v/>
      </c>
      <c r="L13" s="75">
        <f>IFERROR(IF('📋 Product Manager'!N178="","",'📋 Product Manager'!N178),"")</f>
        <v/>
      </c>
    </row>
    <row r="14" ht="15" customHeight="1">
      <c r="A14" s="67" t="n">
        <v>7</v>
      </c>
      <c r="B14" s="13">
        <f>'📋 Product Manager'!B179</f>
        <v/>
      </c>
      <c r="C14" s="13">
        <f>'📋 Product Manager'!D179</f>
        <v/>
      </c>
      <c r="D14" s="14">
        <f>'📋 Product Manager'!E179</f>
        <v/>
      </c>
      <c r="E14" s="68">
        <f>IFERROR(IF('📋 Product Manager'!F179&lt;&gt;"",'📋 Product Manager'!F179,'📋 Product Manager'!G179),"")</f>
        <v/>
      </c>
      <c r="F14" s="69">
        <f>'📋 Product Manager'!G179</f>
        <v/>
      </c>
      <c r="G14" s="13">
        <f>'📋 Product Manager'!H179</f>
        <v/>
      </c>
      <c r="H14" s="68">
        <f>'📋 Product Manager'!I179</f>
        <v/>
      </c>
      <c r="I14" s="68">
        <f>'📋 Product Manager'!J179</f>
        <v/>
      </c>
      <c r="J14" s="70">
        <f>'📋 Product Manager'!K179</f>
        <v/>
      </c>
      <c r="K14" s="42">
        <f>'📋 Product Manager'!L179</f>
        <v/>
      </c>
      <c r="L14" s="71">
        <f>IFERROR(IF('📋 Product Manager'!N179="","",'📋 Product Manager'!N179),"")</f>
        <v/>
      </c>
    </row>
    <row r="15" ht="15" customHeight="1">
      <c r="A15" s="72" t="n">
        <v>8</v>
      </c>
      <c r="B15" s="17">
        <f>'📋 Product Manager'!B180</f>
        <v/>
      </c>
      <c r="C15" s="17">
        <f>'📋 Product Manager'!D180</f>
        <v/>
      </c>
      <c r="D15" s="18">
        <f>'📋 Product Manager'!E180</f>
        <v/>
      </c>
      <c r="E15" s="73">
        <f>IFERROR(IF('📋 Product Manager'!F180&lt;&gt;"",'📋 Product Manager'!F180,'📋 Product Manager'!G180),"")</f>
        <v/>
      </c>
      <c r="F15" s="74">
        <f>'📋 Product Manager'!G180</f>
        <v/>
      </c>
      <c r="G15" s="17">
        <f>'📋 Product Manager'!H180</f>
        <v/>
      </c>
      <c r="H15" s="73">
        <f>'📋 Product Manager'!I180</f>
        <v/>
      </c>
      <c r="I15" s="73">
        <f>'📋 Product Manager'!J180</f>
        <v/>
      </c>
      <c r="J15" s="70">
        <f>'📋 Product Manager'!K180</f>
        <v/>
      </c>
      <c r="K15" s="46">
        <f>'📋 Product Manager'!L180</f>
        <v/>
      </c>
      <c r="L15" s="75">
        <f>IFERROR(IF('📋 Product Manager'!N180="","",'📋 Product Manager'!N180),"")</f>
        <v/>
      </c>
    </row>
    <row r="16" ht="15" customHeight="1">
      <c r="A16" s="67" t="n">
        <v>9</v>
      </c>
      <c r="B16" s="13">
        <f>'📋 Product Manager'!B181</f>
        <v/>
      </c>
      <c r="C16" s="13">
        <f>'📋 Product Manager'!D181</f>
        <v/>
      </c>
      <c r="D16" s="14">
        <f>'📋 Product Manager'!E181</f>
        <v/>
      </c>
      <c r="E16" s="68">
        <f>IFERROR(IF('📋 Product Manager'!F181&lt;&gt;"",'📋 Product Manager'!F181,'📋 Product Manager'!G181),"")</f>
        <v/>
      </c>
      <c r="F16" s="69">
        <f>'📋 Product Manager'!G181</f>
        <v/>
      </c>
      <c r="G16" s="13">
        <f>'📋 Product Manager'!H181</f>
        <v/>
      </c>
      <c r="H16" s="68">
        <f>'📋 Product Manager'!I181</f>
        <v/>
      </c>
      <c r="I16" s="68">
        <f>'📋 Product Manager'!J181</f>
        <v/>
      </c>
      <c r="J16" s="70">
        <f>'📋 Product Manager'!K181</f>
        <v/>
      </c>
      <c r="K16" s="42">
        <f>'📋 Product Manager'!L181</f>
        <v/>
      </c>
      <c r="L16" s="71">
        <f>IFERROR(IF('📋 Product Manager'!N181="","",'📋 Product Manager'!N181),"")</f>
        <v/>
      </c>
    </row>
    <row r="17" ht="15" customHeight="1">
      <c r="A17" s="72" t="n">
        <v>10</v>
      </c>
      <c r="B17" s="17">
        <f>'📋 Product Manager'!B182</f>
        <v/>
      </c>
      <c r="C17" s="17">
        <f>'📋 Product Manager'!D182</f>
        <v/>
      </c>
      <c r="D17" s="18">
        <f>'📋 Product Manager'!E182</f>
        <v/>
      </c>
      <c r="E17" s="73">
        <f>IFERROR(IF('📋 Product Manager'!F182&lt;&gt;"",'📋 Product Manager'!F182,'📋 Product Manager'!G182),"")</f>
        <v/>
      </c>
      <c r="F17" s="74">
        <f>'📋 Product Manager'!G182</f>
        <v/>
      </c>
      <c r="G17" s="17">
        <f>'📋 Product Manager'!H182</f>
        <v/>
      </c>
      <c r="H17" s="73">
        <f>'📋 Product Manager'!I182</f>
        <v/>
      </c>
      <c r="I17" s="73">
        <f>'📋 Product Manager'!J182</f>
        <v/>
      </c>
      <c r="J17" s="70">
        <f>'📋 Product Manager'!K182</f>
        <v/>
      </c>
      <c r="K17" s="46">
        <f>'📋 Product Manager'!L182</f>
        <v/>
      </c>
      <c r="L17" s="75">
        <f>IFERROR(IF('📋 Product Manager'!N182="","",'📋 Product Manager'!N182),"")</f>
        <v/>
      </c>
    </row>
    <row r="18" ht="22" customHeight="1">
      <c r="A18" s="64">
        <f>'📋 Product Manager'!B183</f>
        <v/>
      </c>
    </row>
    <row r="19" ht="14" customHeight="1">
      <c r="A19" s="65">
        <f>IFERROR("  Design: "&amp;'📋 Product Manager'!H183&amp;"   ·   Hydro: "&amp;'📋 Product Manager'!I183&amp;" Kg/Cm²", "")</f>
        <v/>
      </c>
    </row>
    <row r="20" ht="16" customHeight="1">
      <c r="A20" s="66">
        <f>IFERROR("  MOC: "&amp;'📋 Product Manager'!D183, "")</f>
        <v/>
      </c>
    </row>
    <row r="21" ht="15" customHeight="1">
      <c r="A21" s="67" t="n">
        <v>11</v>
      </c>
      <c r="B21" s="13">
        <f>'📋 Product Manager'!B183</f>
        <v/>
      </c>
      <c r="C21" s="13">
        <f>'📋 Product Manager'!D183</f>
        <v/>
      </c>
      <c r="D21" s="14">
        <f>'📋 Product Manager'!E183</f>
        <v/>
      </c>
      <c r="E21" s="68">
        <f>IFERROR(IF('📋 Product Manager'!F183&lt;&gt;"",'📋 Product Manager'!F183,'📋 Product Manager'!G183),"")</f>
        <v/>
      </c>
      <c r="F21" s="69">
        <f>'📋 Product Manager'!G183</f>
        <v/>
      </c>
      <c r="G21" s="13">
        <f>'📋 Product Manager'!H183</f>
        <v/>
      </c>
      <c r="H21" s="68">
        <f>'📋 Product Manager'!I183</f>
        <v/>
      </c>
      <c r="I21" s="68">
        <f>'📋 Product Manager'!J183</f>
        <v/>
      </c>
      <c r="J21" s="70">
        <f>'📋 Product Manager'!K183</f>
        <v/>
      </c>
      <c r="K21" s="42">
        <f>'📋 Product Manager'!L183</f>
        <v/>
      </c>
      <c r="L21" s="71">
        <f>IFERROR(IF('📋 Product Manager'!N183="","",'📋 Product Manager'!N183),"")</f>
        <v/>
      </c>
    </row>
    <row r="22" ht="15" customHeight="1">
      <c r="A22" s="72" t="n">
        <v>12</v>
      </c>
      <c r="B22" s="17">
        <f>'📋 Product Manager'!B184</f>
        <v/>
      </c>
      <c r="C22" s="17">
        <f>'📋 Product Manager'!D184</f>
        <v/>
      </c>
      <c r="D22" s="18">
        <f>'📋 Product Manager'!E184</f>
        <v/>
      </c>
      <c r="E22" s="73">
        <f>IFERROR(IF('📋 Product Manager'!F184&lt;&gt;"",'📋 Product Manager'!F184,'📋 Product Manager'!G184),"")</f>
        <v/>
      </c>
      <c r="F22" s="74">
        <f>'📋 Product Manager'!G184</f>
        <v/>
      </c>
      <c r="G22" s="17">
        <f>'📋 Product Manager'!H184</f>
        <v/>
      </c>
      <c r="H22" s="73">
        <f>'📋 Product Manager'!I184</f>
        <v/>
      </c>
      <c r="I22" s="73">
        <f>'📋 Product Manager'!J184</f>
        <v/>
      </c>
      <c r="J22" s="70">
        <f>'📋 Product Manager'!K184</f>
        <v/>
      </c>
      <c r="K22" s="46">
        <f>'📋 Product Manager'!L184</f>
        <v/>
      </c>
      <c r="L22" s="75">
        <f>IFERROR(IF('📋 Product Manager'!N184="","",'📋 Product Manager'!N184),"")</f>
        <v/>
      </c>
    </row>
    <row r="23" ht="15" customHeight="1">
      <c r="A23" s="67" t="n">
        <v>13</v>
      </c>
      <c r="B23" s="13">
        <f>'📋 Product Manager'!B185</f>
        <v/>
      </c>
      <c r="C23" s="13">
        <f>'📋 Product Manager'!D185</f>
        <v/>
      </c>
      <c r="D23" s="14">
        <f>'📋 Product Manager'!E185</f>
        <v/>
      </c>
      <c r="E23" s="68">
        <f>IFERROR(IF('📋 Product Manager'!F185&lt;&gt;"",'📋 Product Manager'!F185,'📋 Product Manager'!G185),"")</f>
        <v/>
      </c>
      <c r="F23" s="69">
        <f>'📋 Product Manager'!G185</f>
        <v/>
      </c>
      <c r="G23" s="13">
        <f>'📋 Product Manager'!H185</f>
        <v/>
      </c>
      <c r="H23" s="68">
        <f>'📋 Product Manager'!I185</f>
        <v/>
      </c>
      <c r="I23" s="68">
        <f>'📋 Product Manager'!J185</f>
        <v/>
      </c>
      <c r="J23" s="70">
        <f>'📋 Product Manager'!K185</f>
        <v/>
      </c>
      <c r="K23" s="42">
        <f>'📋 Product Manager'!L185</f>
        <v/>
      </c>
      <c r="L23" s="71">
        <f>IFERROR(IF('📋 Product Manager'!N185="","",'📋 Product Manager'!N185),"")</f>
        <v/>
      </c>
    </row>
    <row r="24" ht="15" customHeight="1">
      <c r="A24" s="72" t="n">
        <v>14</v>
      </c>
      <c r="B24" s="17">
        <f>'📋 Product Manager'!B186</f>
        <v/>
      </c>
      <c r="C24" s="17">
        <f>'📋 Product Manager'!D186</f>
        <v/>
      </c>
      <c r="D24" s="18">
        <f>'📋 Product Manager'!E186</f>
        <v/>
      </c>
      <c r="E24" s="73">
        <f>IFERROR(IF('📋 Product Manager'!F186&lt;&gt;"",'📋 Product Manager'!F186,'📋 Product Manager'!G186),"")</f>
        <v/>
      </c>
      <c r="F24" s="74">
        <f>'📋 Product Manager'!G186</f>
        <v/>
      </c>
      <c r="G24" s="17">
        <f>'📋 Product Manager'!H186</f>
        <v/>
      </c>
      <c r="H24" s="73">
        <f>'📋 Product Manager'!I186</f>
        <v/>
      </c>
      <c r="I24" s="73">
        <f>'📋 Product Manager'!J186</f>
        <v/>
      </c>
      <c r="J24" s="70">
        <f>'📋 Product Manager'!K186</f>
        <v/>
      </c>
      <c r="K24" s="46">
        <f>'📋 Product Manager'!L186</f>
        <v/>
      </c>
      <c r="L24" s="75">
        <f>IFERROR(IF('📋 Product Manager'!N186="","",'📋 Product Manager'!N186),"")</f>
        <v/>
      </c>
    </row>
    <row r="25" ht="15" customHeight="1">
      <c r="A25" s="67" t="n">
        <v>15</v>
      </c>
      <c r="B25" s="13">
        <f>'📋 Product Manager'!B187</f>
        <v/>
      </c>
      <c r="C25" s="13">
        <f>'📋 Product Manager'!D187</f>
        <v/>
      </c>
      <c r="D25" s="14">
        <f>'📋 Product Manager'!E187</f>
        <v/>
      </c>
      <c r="E25" s="68">
        <f>IFERROR(IF('📋 Product Manager'!F187&lt;&gt;"",'📋 Product Manager'!F187,'📋 Product Manager'!G187),"")</f>
        <v/>
      </c>
      <c r="F25" s="69">
        <f>'📋 Product Manager'!G187</f>
        <v/>
      </c>
      <c r="G25" s="13">
        <f>'📋 Product Manager'!H187</f>
        <v/>
      </c>
      <c r="H25" s="68">
        <f>'📋 Product Manager'!I187</f>
        <v/>
      </c>
      <c r="I25" s="68">
        <f>'📋 Product Manager'!J187</f>
        <v/>
      </c>
      <c r="J25" s="70">
        <f>'📋 Product Manager'!K187</f>
        <v/>
      </c>
      <c r="K25" s="42">
        <f>'📋 Product Manager'!L187</f>
        <v/>
      </c>
      <c r="L25" s="71">
        <f>IFERROR(IF('📋 Product Manager'!N187="","",'📋 Product Manager'!N187),"")</f>
        <v/>
      </c>
    </row>
    <row r="26" ht="15" customHeight="1">
      <c r="A26" s="72" t="n">
        <v>16</v>
      </c>
      <c r="B26" s="17">
        <f>'📋 Product Manager'!B188</f>
        <v/>
      </c>
      <c r="C26" s="17">
        <f>'📋 Product Manager'!D188</f>
        <v/>
      </c>
      <c r="D26" s="18">
        <f>'📋 Product Manager'!E188</f>
        <v/>
      </c>
      <c r="E26" s="73">
        <f>IFERROR(IF('📋 Product Manager'!F188&lt;&gt;"",'📋 Product Manager'!F188,'📋 Product Manager'!G188),"")</f>
        <v/>
      </c>
      <c r="F26" s="74">
        <f>'📋 Product Manager'!G188</f>
        <v/>
      </c>
      <c r="G26" s="17">
        <f>'📋 Product Manager'!H188</f>
        <v/>
      </c>
      <c r="H26" s="73">
        <f>'📋 Product Manager'!I188</f>
        <v/>
      </c>
      <c r="I26" s="73">
        <f>'📋 Product Manager'!J188</f>
        <v/>
      </c>
      <c r="J26" s="70">
        <f>'📋 Product Manager'!K188</f>
        <v/>
      </c>
      <c r="K26" s="46">
        <f>'📋 Product Manager'!L188</f>
        <v/>
      </c>
      <c r="L26" s="75">
        <f>IFERROR(IF('📋 Product Manager'!N188="","",'📋 Product Manager'!N188),"")</f>
        <v/>
      </c>
    </row>
    <row r="27" ht="15" customHeight="1">
      <c r="A27" s="67" t="n">
        <v>17</v>
      </c>
      <c r="B27" s="13">
        <f>'📋 Product Manager'!B189</f>
        <v/>
      </c>
      <c r="C27" s="13">
        <f>'📋 Product Manager'!D189</f>
        <v/>
      </c>
      <c r="D27" s="14">
        <f>'📋 Product Manager'!E189</f>
        <v/>
      </c>
      <c r="E27" s="68">
        <f>IFERROR(IF('📋 Product Manager'!F189&lt;&gt;"",'📋 Product Manager'!F189,'📋 Product Manager'!G189),"")</f>
        <v/>
      </c>
      <c r="F27" s="69">
        <f>'📋 Product Manager'!G189</f>
        <v/>
      </c>
      <c r="G27" s="13">
        <f>'📋 Product Manager'!H189</f>
        <v/>
      </c>
      <c r="H27" s="68">
        <f>'📋 Product Manager'!I189</f>
        <v/>
      </c>
      <c r="I27" s="68">
        <f>'📋 Product Manager'!J189</f>
        <v/>
      </c>
      <c r="J27" s="70">
        <f>'📋 Product Manager'!K189</f>
        <v/>
      </c>
      <c r="K27" s="42">
        <f>'📋 Product Manager'!L189</f>
        <v/>
      </c>
      <c r="L27" s="71">
        <f>IFERROR(IF('📋 Product Manager'!N189="","",'📋 Product Manager'!N189),"")</f>
        <v/>
      </c>
    </row>
    <row r="28" ht="15" customHeight="1">
      <c r="A28" s="72" t="n">
        <v>18</v>
      </c>
      <c r="B28" s="17">
        <f>'📋 Product Manager'!B190</f>
        <v/>
      </c>
      <c r="C28" s="17">
        <f>'📋 Product Manager'!D190</f>
        <v/>
      </c>
      <c r="D28" s="18">
        <f>'📋 Product Manager'!E190</f>
        <v/>
      </c>
      <c r="E28" s="73">
        <f>IFERROR(IF('📋 Product Manager'!F190&lt;&gt;"",'📋 Product Manager'!F190,'📋 Product Manager'!G190),"")</f>
        <v/>
      </c>
      <c r="F28" s="74">
        <f>'📋 Product Manager'!G190</f>
        <v/>
      </c>
      <c r="G28" s="17">
        <f>'📋 Product Manager'!H190</f>
        <v/>
      </c>
      <c r="H28" s="73">
        <f>'📋 Product Manager'!I190</f>
        <v/>
      </c>
      <c r="I28" s="73">
        <f>'📋 Product Manager'!J190</f>
        <v/>
      </c>
      <c r="J28" s="70">
        <f>'📋 Product Manager'!K190</f>
        <v/>
      </c>
      <c r="K28" s="46">
        <f>'📋 Product Manager'!L190</f>
        <v/>
      </c>
      <c r="L28" s="75">
        <f>IFERROR(IF('📋 Product Manager'!N190="","",'📋 Product Manager'!N190),"")</f>
        <v/>
      </c>
    </row>
    <row r="29" ht="22" customHeight="1">
      <c r="A29" s="64">
        <f>'📋 Product Manager'!B191</f>
        <v/>
      </c>
    </row>
    <row r="30" ht="14" customHeight="1">
      <c r="A30" s="65">
        <f>IFERROR("  Design: "&amp;'📋 Product Manager'!H191&amp;"   ·   Hydro: "&amp;'📋 Product Manager'!I191&amp;" Kg/Cm²", "")</f>
        <v/>
      </c>
    </row>
    <row r="31" ht="16" customHeight="1">
      <c r="A31" s="66">
        <f>IFERROR("  MOC: "&amp;'📋 Product Manager'!D191, "")</f>
        <v/>
      </c>
    </row>
    <row r="32" ht="15" customHeight="1">
      <c r="A32" s="67" t="n">
        <v>19</v>
      </c>
      <c r="B32" s="13">
        <f>'📋 Product Manager'!B191</f>
        <v/>
      </c>
      <c r="C32" s="13">
        <f>'📋 Product Manager'!D191</f>
        <v/>
      </c>
      <c r="D32" s="14">
        <f>'📋 Product Manager'!E191</f>
        <v/>
      </c>
      <c r="E32" s="68">
        <f>IFERROR(IF('📋 Product Manager'!F191&lt;&gt;"",'📋 Product Manager'!F191,'📋 Product Manager'!G191),"")</f>
        <v/>
      </c>
      <c r="F32" s="69">
        <f>'📋 Product Manager'!G191</f>
        <v/>
      </c>
      <c r="G32" s="13">
        <f>'📋 Product Manager'!H191</f>
        <v/>
      </c>
      <c r="H32" s="68">
        <f>'📋 Product Manager'!I191</f>
        <v/>
      </c>
      <c r="I32" s="68">
        <f>'📋 Product Manager'!J191</f>
        <v/>
      </c>
      <c r="J32" s="70">
        <f>'📋 Product Manager'!K191</f>
        <v/>
      </c>
      <c r="K32" s="42">
        <f>'📋 Product Manager'!L191</f>
        <v/>
      </c>
      <c r="L32" s="71">
        <f>IFERROR(IF('📋 Product Manager'!N191="","",'📋 Product Manager'!N191),"")</f>
        <v/>
      </c>
    </row>
    <row r="33" ht="15" customHeight="1">
      <c r="A33" s="72" t="n">
        <v>20</v>
      </c>
      <c r="B33" s="17">
        <f>'📋 Product Manager'!B192</f>
        <v/>
      </c>
      <c r="C33" s="17">
        <f>'📋 Product Manager'!D192</f>
        <v/>
      </c>
      <c r="D33" s="18">
        <f>'📋 Product Manager'!E192</f>
        <v/>
      </c>
      <c r="E33" s="73">
        <f>IFERROR(IF('📋 Product Manager'!F192&lt;&gt;"",'📋 Product Manager'!F192,'📋 Product Manager'!G192),"")</f>
        <v/>
      </c>
      <c r="F33" s="74">
        <f>'📋 Product Manager'!G192</f>
        <v/>
      </c>
      <c r="G33" s="17">
        <f>'📋 Product Manager'!H192</f>
        <v/>
      </c>
      <c r="H33" s="73">
        <f>'📋 Product Manager'!I192</f>
        <v/>
      </c>
      <c r="I33" s="73">
        <f>'📋 Product Manager'!J192</f>
        <v/>
      </c>
      <c r="J33" s="70">
        <f>'📋 Product Manager'!K192</f>
        <v/>
      </c>
      <c r="K33" s="46">
        <f>'📋 Product Manager'!L192</f>
        <v/>
      </c>
      <c r="L33" s="75">
        <f>IFERROR(IF('📋 Product Manager'!N192="","",'📋 Product Manager'!N192),"")</f>
        <v/>
      </c>
    </row>
    <row r="34" ht="15" customHeight="1">
      <c r="A34" s="67" t="n">
        <v>21</v>
      </c>
      <c r="B34" s="13">
        <f>'📋 Product Manager'!B193</f>
        <v/>
      </c>
      <c r="C34" s="13">
        <f>'📋 Product Manager'!D193</f>
        <v/>
      </c>
      <c r="D34" s="14">
        <f>'📋 Product Manager'!E193</f>
        <v/>
      </c>
      <c r="E34" s="68">
        <f>IFERROR(IF('📋 Product Manager'!F193&lt;&gt;"",'📋 Product Manager'!F193,'📋 Product Manager'!G193),"")</f>
        <v/>
      </c>
      <c r="F34" s="69">
        <f>'📋 Product Manager'!G193</f>
        <v/>
      </c>
      <c r="G34" s="13">
        <f>'📋 Product Manager'!H193</f>
        <v/>
      </c>
      <c r="H34" s="68">
        <f>'📋 Product Manager'!I193</f>
        <v/>
      </c>
      <c r="I34" s="68">
        <f>'📋 Product Manager'!J193</f>
        <v/>
      </c>
      <c r="J34" s="70">
        <f>'📋 Product Manager'!K193</f>
        <v/>
      </c>
      <c r="K34" s="42">
        <f>'📋 Product Manager'!L193</f>
        <v/>
      </c>
      <c r="L34" s="71">
        <f>IFERROR(IF('📋 Product Manager'!N193="","",'📋 Product Manager'!N193),"")</f>
        <v/>
      </c>
    </row>
    <row r="35" ht="15" customHeight="1">
      <c r="A35" s="72" t="n">
        <v>22</v>
      </c>
      <c r="B35" s="17">
        <f>'📋 Product Manager'!B194</f>
        <v/>
      </c>
      <c r="C35" s="17">
        <f>'📋 Product Manager'!D194</f>
        <v/>
      </c>
      <c r="D35" s="18">
        <f>'📋 Product Manager'!E194</f>
        <v/>
      </c>
      <c r="E35" s="73">
        <f>IFERROR(IF('📋 Product Manager'!F194&lt;&gt;"",'📋 Product Manager'!F194,'📋 Product Manager'!G194),"")</f>
        <v/>
      </c>
      <c r="F35" s="74">
        <f>'📋 Product Manager'!G194</f>
        <v/>
      </c>
      <c r="G35" s="17">
        <f>'📋 Product Manager'!H194</f>
        <v/>
      </c>
      <c r="H35" s="73">
        <f>'📋 Product Manager'!I194</f>
        <v/>
      </c>
      <c r="I35" s="73">
        <f>'📋 Product Manager'!J194</f>
        <v/>
      </c>
      <c r="J35" s="70">
        <f>'📋 Product Manager'!K194</f>
        <v/>
      </c>
      <c r="K35" s="46">
        <f>'📋 Product Manager'!L194</f>
        <v/>
      </c>
      <c r="L35" s="75">
        <f>IFERROR(IF('📋 Product Manager'!N194="","",'📋 Product Manager'!N194),"")</f>
        <v/>
      </c>
    </row>
    <row r="36" ht="15" customHeight="1">
      <c r="A36" s="67" t="n">
        <v>23</v>
      </c>
      <c r="B36" s="13">
        <f>'📋 Product Manager'!B195</f>
        <v/>
      </c>
      <c r="C36" s="13">
        <f>'📋 Product Manager'!D195</f>
        <v/>
      </c>
      <c r="D36" s="14">
        <f>'📋 Product Manager'!E195</f>
        <v/>
      </c>
      <c r="E36" s="68">
        <f>IFERROR(IF('📋 Product Manager'!F195&lt;&gt;"",'📋 Product Manager'!F195,'📋 Product Manager'!G195),"")</f>
        <v/>
      </c>
      <c r="F36" s="69">
        <f>'📋 Product Manager'!G195</f>
        <v/>
      </c>
      <c r="G36" s="13">
        <f>'📋 Product Manager'!H195</f>
        <v/>
      </c>
      <c r="H36" s="68">
        <f>'📋 Product Manager'!I195</f>
        <v/>
      </c>
      <c r="I36" s="68">
        <f>'📋 Product Manager'!J195</f>
        <v/>
      </c>
      <c r="J36" s="70">
        <f>'📋 Product Manager'!K195</f>
        <v/>
      </c>
      <c r="K36" s="42">
        <f>'📋 Product Manager'!L195</f>
        <v/>
      </c>
      <c r="L36" s="71">
        <f>IFERROR(IF('📋 Product Manager'!N195="","",'📋 Product Manager'!N195),"")</f>
        <v/>
      </c>
    </row>
    <row r="37" ht="15" customHeight="1">
      <c r="A37" s="72" t="n">
        <v>24</v>
      </c>
      <c r="B37" s="17">
        <f>'📋 Product Manager'!B196</f>
        <v/>
      </c>
      <c r="C37" s="17">
        <f>'📋 Product Manager'!D196</f>
        <v/>
      </c>
      <c r="D37" s="18">
        <f>'📋 Product Manager'!E196</f>
        <v/>
      </c>
      <c r="E37" s="73">
        <f>IFERROR(IF('📋 Product Manager'!F196&lt;&gt;"",'📋 Product Manager'!F196,'📋 Product Manager'!G196),"")</f>
        <v/>
      </c>
      <c r="F37" s="74">
        <f>'📋 Product Manager'!G196</f>
        <v/>
      </c>
      <c r="G37" s="17">
        <f>'📋 Product Manager'!H196</f>
        <v/>
      </c>
      <c r="H37" s="73">
        <f>'📋 Product Manager'!I196</f>
        <v/>
      </c>
      <c r="I37" s="73">
        <f>'📋 Product Manager'!J196</f>
        <v/>
      </c>
      <c r="J37" s="70">
        <f>'📋 Product Manager'!K196</f>
        <v/>
      </c>
      <c r="K37" s="46">
        <f>'📋 Product Manager'!L196</f>
        <v/>
      </c>
      <c r="L37" s="75">
        <f>IFERROR(IF('📋 Product Manager'!N196="","",'📋 Product Manager'!N196),"")</f>
        <v/>
      </c>
    </row>
    <row r="38" ht="15" customHeight="1">
      <c r="A38" s="67" t="n">
        <v>25</v>
      </c>
      <c r="B38" s="13">
        <f>'📋 Product Manager'!B197</f>
        <v/>
      </c>
      <c r="C38" s="13">
        <f>'📋 Product Manager'!D197</f>
        <v/>
      </c>
      <c r="D38" s="14">
        <f>'📋 Product Manager'!E197</f>
        <v/>
      </c>
      <c r="E38" s="68">
        <f>IFERROR(IF('📋 Product Manager'!F197&lt;&gt;"",'📋 Product Manager'!F197,'📋 Product Manager'!G197),"")</f>
        <v/>
      </c>
      <c r="F38" s="69">
        <f>'📋 Product Manager'!G197</f>
        <v/>
      </c>
      <c r="G38" s="13">
        <f>'📋 Product Manager'!H197</f>
        <v/>
      </c>
      <c r="H38" s="68">
        <f>'📋 Product Manager'!I197</f>
        <v/>
      </c>
      <c r="I38" s="68">
        <f>'📋 Product Manager'!J197</f>
        <v/>
      </c>
      <c r="J38" s="70">
        <f>'📋 Product Manager'!K197</f>
        <v/>
      </c>
      <c r="K38" s="42">
        <f>'📋 Product Manager'!L197</f>
        <v/>
      </c>
      <c r="L38" s="71">
        <f>IFERROR(IF('📋 Product Manager'!N197="","",'📋 Product Manager'!N197),"")</f>
        <v/>
      </c>
    </row>
    <row r="39" ht="15" customHeight="1">
      <c r="A39" s="72" t="n">
        <v>26</v>
      </c>
      <c r="B39" s="17">
        <f>'📋 Product Manager'!B198</f>
        <v/>
      </c>
      <c r="C39" s="17">
        <f>'📋 Product Manager'!D198</f>
        <v/>
      </c>
      <c r="D39" s="18">
        <f>'📋 Product Manager'!E198</f>
        <v/>
      </c>
      <c r="E39" s="73">
        <f>IFERROR(IF('📋 Product Manager'!F198&lt;&gt;"",'📋 Product Manager'!F198,'📋 Product Manager'!G198),"")</f>
        <v/>
      </c>
      <c r="F39" s="74">
        <f>'📋 Product Manager'!G198</f>
        <v/>
      </c>
      <c r="G39" s="17">
        <f>'📋 Product Manager'!H198</f>
        <v/>
      </c>
      <c r="H39" s="73">
        <f>'📋 Product Manager'!I198</f>
        <v/>
      </c>
      <c r="I39" s="73">
        <f>'📋 Product Manager'!J198</f>
        <v/>
      </c>
      <c r="J39" s="70">
        <f>'📋 Product Manager'!K198</f>
        <v/>
      </c>
      <c r="K39" s="46">
        <f>'📋 Product Manager'!L198</f>
        <v/>
      </c>
      <c r="L39" s="75">
        <f>IFERROR(IF('📋 Product Manager'!N198="","",'📋 Product Manager'!N198),"")</f>
        <v/>
      </c>
    </row>
    <row r="40" ht="16" customHeight="1">
      <c r="A40" s="66">
        <f>IFERROR("  MOC: "&amp;'📋 Product Manager'!D199, "")</f>
        <v/>
      </c>
    </row>
    <row r="41" ht="15" customHeight="1">
      <c r="A41" s="67" t="n">
        <v>27</v>
      </c>
      <c r="B41" s="13">
        <f>'📋 Product Manager'!B199</f>
        <v/>
      </c>
      <c r="C41" s="13">
        <f>'📋 Product Manager'!D199</f>
        <v/>
      </c>
      <c r="D41" s="14">
        <f>'📋 Product Manager'!E199</f>
        <v/>
      </c>
      <c r="E41" s="68">
        <f>IFERROR(IF('📋 Product Manager'!F199&lt;&gt;"",'📋 Product Manager'!F199,'📋 Product Manager'!G199),"")</f>
        <v/>
      </c>
      <c r="F41" s="69">
        <f>'📋 Product Manager'!G199</f>
        <v/>
      </c>
      <c r="G41" s="13">
        <f>'📋 Product Manager'!H199</f>
        <v/>
      </c>
      <c r="H41" s="68">
        <f>'📋 Product Manager'!I199</f>
        <v/>
      </c>
      <c r="I41" s="68">
        <f>'📋 Product Manager'!J199</f>
        <v/>
      </c>
      <c r="J41" s="70">
        <f>'📋 Product Manager'!K199</f>
        <v/>
      </c>
      <c r="K41" s="42">
        <f>'📋 Product Manager'!L199</f>
        <v/>
      </c>
      <c r="L41" s="71">
        <f>IFERROR(IF('📋 Product Manager'!N199="","",'📋 Product Manager'!N199),"")</f>
        <v/>
      </c>
    </row>
    <row r="42" ht="15" customHeight="1">
      <c r="A42" s="72" t="n">
        <v>28</v>
      </c>
      <c r="B42" s="17">
        <f>'📋 Product Manager'!B200</f>
        <v/>
      </c>
      <c r="C42" s="17">
        <f>'📋 Product Manager'!D200</f>
        <v/>
      </c>
      <c r="D42" s="18">
        <f>'📋 Product Manager'!E200</f>
        <v/>
      </c>
      <c r="E42" s="73">
        <f>IFERROR(IF('📋 Product Manager'!F200&lt;&gt;"",'📋 Product Manager'!F200,'📋 Product Manager'!G200),"")</f>
        <v/>
      </c>
      <c r="F42" s="74">
        <f>'📋 Product Manager'!G200</f>
        <v/>
      </c>
      <c r="G42" s="17">
        <f>'📋 Product Manager'!H200</f>
        <v/>
      </c>
      <c r="H42" s="73">
        <f>'📋 Product Manager'!I200</f>
        <v/>
      </c>
      <c r="I42" s="73">
        <f>'📋 Product Manager'!J200</f>
        <v/>
      </c>
      <c r="J42" s="70">
        <f>'📋 Product Manager'!K200</f>
        <v/>
      </c>
      <c r="K42" s="46">
        <f>'📋 Product Manager'!L200</f>
        <v/>
      </c>
      <c r="L42" s="75">
        <f>IFERROR(IF('📋 Product Manager'!N200="","",'📋 Product Manager'!N200),"")</f>
        <v/>
      </c>
    </row>
    <row r="43" ht="15" customHeight="1">
      <c r="A43" s="67" t="n">
        <v>29</v>
      </c>
      <c r="B43" s="13">
        <f>'📋 Product Manager'!B201</f>
        <v/>
      </c>
      <c r="C43" s="13">
        <f>'📋 Product Manager'!D201</f>
        <v/>
      </c>
      <c r="D43" s="14">
        <f>'📋 Product Manager'!E201</f>
        <v/>
      </c>
      <c r="E43" s="68">
        <f>IFERROR(IF('📋 Product Manager'!F201&lt;&gt;"",'📋 Product Manager'!F201,'📋 Product Manager'!G201),"")</f>
        <v/>
      </c>
      <c r="F43" s="69">
        <f>'📋 Product Manager'!G201</f>
        <v/>
      </c>
      <c r="G43" s="13">
        <f>'📋 Product Manager'!H201</f>
        <v/>
      </c>
      <c r="H43" s="68">
        <f>'📋 Product Manager'!I201</f>
        <v/>
      </c>
      <c r="I43" s="68">
        <f>'📋 Product Manager'!J201</f>
        <v/>
      </c>
      <c r="J43" s="70">
        <f>'📋 Product Manager'!K201</f>
        <v/>
      </c>
      <c r="K43" s="42">
        <f>'📋 Product Manager'!L201</f>
        <v/>
      </c>
      <c r="L43" s="71">
        <f>IFERROR(IF('📋 Product Manager'!N201="","",'📋 Product Manager'!N201),"")</f>
        <v/>
      </c>
    </row>
    <row r="44" ht="15" customHeight="1">
      <c r="A44" s="72" t="n">
        <v>30</v>
      </c>
      <c r="B44" s="17">
        <f>'📋 Product Manager'!B202</f>
        <v/>
      </c>
      <c r="C44" s="17">
        <f>'📋 Product Manager'!D202</f>
        <v/>
      </c>
      <c r="D44" s="18">
        <f>'📋 Product Manager'!E202</f>
        <v/>
      </c>
      <c r="E44" s="73">
        <f>IFERROR(IF('📋 Product Manager'!F202&lt;&gt;"",'📋 Product Manager'!F202,'📋 Product Manager'!G202),"")</f>
        <v/>
      </c>
      <c r="F44" s="74">
        <f>'📋 Product Manager'!G202</f>
        <v/>
      </c>
      <c r="G44" s="17">
        <f>'📋 Product Manager'!H202</f>
        <v/>
      </c>
      <c r="H44" s="73">
        <f>'📋 Product Manager'!I202</f>
        <v/>
      </c>
      <c r="I44" s="73">
        <f>'📋 Product Manager'!J202</f>
        <v/>
      </c>
      <c r="J44" s="70">
        <f>'📋 Product Manager'!K202</f>
        <v/>
      </c>
      <c r="K44" s="46">
        <f>'📋 Product Manager'!L202</f>
        <v/>
      </c>
      <c r="L44" s="75">
        <f>IFERROR(IF('📋 Product Manager'!N202="","",'📋 Product Manager'!N202),"")</f>
        <v/>
      </c>
    </row>
    <row r="45" ht="15" customHeight="1">
      <c r="A45" s="67" t="n">
        <v>31</v>
      </c>
      <c r="B45" s="13">
        <f>'📋 Product Manager'!B203</f>
        <v/>
      </c>
      <c r="C45" s="13">
        <f>'📋 Product Manager'!D203</f>
        <v/>
      </c>
      <c r="D45" s="14">
        <f>'📋 Product Manager'!E203</f>
        <v/>
      </c>
      <c r="E45" s="68">
        <f>IFERROR(IF('📋 Product Manager'!F203&lt;&gt;"",'📋 Product Manager'!F203,'📋 Product Manager'!G203),"")</f>
        <v/>
      </c>
      <c r="F45" s="69">
        <f>'📋 Product Manager'!G203</f>
        <v/>
      </c>
      <c r="G45" s="13">
        <f>'📋 Product Manager'!H203</f>
        <v/>
      </c>
      <c r="H45" s="68">
        <f>'📋 Product Manager'!I203</f>
        <v/>
      </c>
      <c r="I45" s="68">
        <f>'📋 Product Manager'!J203</f>
        <v/>
      </c>
      <c r="J45" s="70">
        <f>'📋 Product Manager'!K203</f>
        <v/>
      </c>
      <c r="K45" s="42">
        <f>'📋 Product Manager'!L203</f>
        <v/>
      </c>
      <c r="L45" s="71">
        <f>IFERROR(IF('📋 Product Manager'!N203="","",'📋 Product Manager'!N203),"")</f>
        <v/>
      </c>
    </row>
    <row r="46" ht="15" customHeight="1">
      <c r="A46" s="72" t="n">
        <v>32</v>
      </c>
      <c r="B46" s="17">
        <f>'📋 Product Manager'!B204</f>
        <v/>
      </c>
      <c r="C46" s="17">
        <f>'📋 Product Manager'!D204</f>
        <v/>
      </c>
      <c r="D46" s="18">
        <f>'📋 Product Manager'!E204</f>
        <v/>
      </c>
      <c r="E46" s="73">
        <f>IFERROR(IF('📋 Product Manager'!F204&lt;&gt;"",'📋 Product Manager'!F204,'📋 Product Manager'!G204),"")</f>
        <v/>
      </c>
      <c r="F46" s="74">
        <f>'📋 Product Manager'!G204</f>
        <v/>
      </c>
      <c r="G46" s="17">
        <f>'📋 Product Manager'!H204</f>
        <v/>
      </c>
      <c r="H46" s="73">
        <f>'📋 Product Manager'!I204</f>
        <v/>
      </c>
      <c r="I46" s="73">
        <f>'📋 Product Manager'!J204</f>
        <v/>
      </c>
      <c r="J46" s="70">
        <f>'📋 Product Manager'!K204</f>
        <v/>
      </c>
      <c r="K46" s="46">
        <f>'📋 Product Manager'!L204</f>
        <v/>
      </c>
      <c r="L46" s="75">
        <f>IFERROR(IF('📋 Product Manager'!N204="","",'📋 Product Manager'!N204),"")</f>
        <v/>
      </c>
    </row>
    <row r="47" ht="15" customHeight="1">
      <c r="A47" s="67" t="n">
        <v>33</v>
      </c>
      <c r="B47" s="13">
        <f>'📋 Product Manager'!B205</f>
        <v/>
      </c>
      <c r="C47" s="13">
        <f>'📋 Product Manager'!D205</f>
        <v/>
      </c>
      <c r="D47" s="14">
        <f>'📋 Product Manager'!E205</f>
        <v/>
      </c>
      <c r="E47" s="68">
        <f>IFERROR(IF('📋 Product Manager'!F205&lt;&gt;"",'📋 Product Manager'!F205,'📋 Product Manager'!G205),"")</f>
        <v/>
      </c>
      <c r="F47" s="69">
        <f>'📋 Product Manager'!G205</f>
        <v/>
      </c>
      <c r="G47" s="13">
        <f>'📋 Product Manager'!H205</f>
        <v/>
      </c>
      <c r="H47" s="68">
        <f>'📋 Product Manager'!I205</f>
        <v/>
      </c>
      <c r="I47" s="68">
        <f>'📋 Product Manager'!J205</f>
        <v/>
      </c>
      <c r="J47" s="70">
        <f>'📋 Product Manager'!K205</f>
        <v/>
      </c>
      <c r="K47" s="42">
        <f>'📋 Product Manager'!L205</f>
        <v/>
      </c>
      <c r="L47" s="71">
        <f>IFERROR(IF('📋 Product Manager'!N205="","",'📋 Product Manager'!N205),"")</f>
        <v/>
      </c>
    </row>
    <row r="48" ht="15" customHeight="1">
      <c r="A48" s="72" t="n">
        <v>34</v>
      </c>
      <c r="B48" s="17">
        <f>'📋 Product Manager'!B206</f>
        <v/>
      </c>
      <c r="C48" s="17">
        <f>'📋 Product Manager'!D206</f>
        <v/>
      </c>
      <c r="D48" s="18">
        <f>'📋 Product Manager'!E206</f>
        <v/>
      </c>
      <c r="E48" s="73">
        <f>IFERROR(IF('📋 Product Manager'!F206&lt;&gt;"",'📋 Product Manager'!F206,'📋 Product Manager'!G206),"")</f>
        <v/>
      </c>
      <c r="F48" s="74">
        <f>'📋 Product Manager'!G206</f>
        <v/>
      </c>
      <c r="G48" s="17">
        <f>'📋 Product Manager'!H206</f>
        <v/>
      </c>
      <c r="H48" s="73">
        <f>'📋 Product Manager'!I206</f>
        <v/>
      </c>
      <c r="I48" s="73">
        <f>'📋 Product Manager'!J206</f>
        <v/>
      </c>
      <c r="J48" s="70">
        <f>'📋 Product Manager'!K206</f>
        <v/>
      </c>
      <c r="K48" s="46">
        <f>'📋 Product Manager'!L206</f>
        <v/>
      </c>
      <c r="L48" s="75">
        <f>IFERROR(IF('📋 Product Manager'!N206="","",'📋 Product Manager'!N206),"")</f>
        <v/>
      </c>
    </row>
    <row r="49" ht="22" customHeight="1">
      <c r="A49" s="64">
        <f>'📋 Product Manager'!B207</f>
        <v/>
      </c>
    </row>
    <row r="50" ht="14" customHeight="1">
      <c r="A50" s="65">
        <f>IFERROR("  Design: "&amp;'📋 Product Manager'!H207&amp;"   ·   Hydro: "&amp;'📋 Product Manager'!I207&amp;" Kg/Cm²", "")</f>
        <v/>
      </c>
    </row>
    <row r="51" ht="16" customHeight="1">
      <c r="A51" s="66">
        <f>IFERROR("  MOC: "&amp;'📋 Product Manager'!D207, "")</f>
        <v/>
      </c>
    </row>
    <row r="52" ht="15" customHeight="1">
      <c r="A52" s="67" t="n">
        <v>35</v>
      </c>
      <c r="B52" s="13">
        <f>'📋 Product Manager'!B207</f>
        <v/>
      </c>
      <c r="C52" s="13">
        <f>'📋 Product Manager'!D207</f>
        <v/>
      </c>
      <c r="D52" s="14">
        <f>'📋 Product Manager'!E207</f>
        <v/>
      </c>
      <c r="E52" s="68">
        <f>IFERROR(IF('📋 Product Manager'!F207&lt;&gt;"",'📋 Product Manager'!F207,'📋 Product Manager'!G207),"")</f>
        <v/>
      </c>
      <c r="F52" s="69">
        <f>'📋 Product Manager'!G207</f>
        <v/>
      </c>
      <c r="G52" s="13">
        <f>'📋 Product Manager'!H207</f>
        <v/>
      </c>
      <c r="H52" s="68">
        <f>'📋 Product Manager'!I207</f>
        <v/>
      </c>
      <c r="I52" s="68">
        <f>'📋 Product Manager'!J207</f>
        <v/>
      </c>
      <c r="J52" s="70">
        <f>'📋 Product Manager'!K207</f>
        <v/>
      </c>
      <c r="K52" s="42">
        <f>'📋 Product Manager'!L207</f>
        <v/>
      </c>
      <c r="L52" s="71">
        <f>IFERROR(IF('📋 Product Manager'!N207="","",'📋 Product Manager'!N207),"")</f>
        <v/>
      </c>
    </row>
    <row r="53" ht="15" customHeight="1">
      <c r="A53" s="72" t="n">
        <v>36</v>
      </c>
      <c r="B53" s="17">
        <f>'📋 Product Manager'!B208</f>
        <v/>
      </c>
      <c r="C53" s="17">
        <f>'📋 Product Manager'!D208</f>
        <v/>
      </c>
      <c r="D53" s="18">
        <f>'📋 Product Manager'!E208</f>
        <v/>
      </c>
      <c r="E53" s="73">
        <f>IFERROR(IF('📋 Product Manager'!F208&lt;&gt;"",'📋 Product Manager'!F208,'📋 Product Manager'!G208),"")</f>
        <v/>
      </c>
      <c r="F53" s="74">
        <f>'📋 Product Manager'!G208</f>
        <v/>
      </c>
      <c r="G53" s="17">
        <f>'📋 Product Manager'!H208</f>
        <v/>
      </c>
      <c r="H53" s="73">
        <f>'📋 Product Manager'!I208</f>
        <v/>
      </c>
      <c r="I53" s="73">
        <f>'📋 Product Manager'!J208</f>
        <v/>
      </c>
      <c r="J53" s="70">
        <f>'📋 Product Manager'!K208</f>
        <v/>
      </c>
      <c r="K53" s="46">
        <f>'📋 Product Manager'!L208</f>
        <v/>
      </c>
      <c r="L53" s="75">
        <f>IFERROR(IF('📋 Product Manager'!N208="","",'📋 Product Manager'!N208),"")</f>
        <v/>
      </c>
    </row>
    <row r="54" ht="15" customHeight="1">
      <c r="A54" s="67" t="n">
        <v>37</v>
      </c>
      <c r="B54" s="13">
        <f>'📋 Product Manager'!B209</f>
        <v/>
      </c>
      <c r="C54" s="13">
        <f>'📋 Product Manager'!D209</f>
        <v/>
      </c>
      <c r="D54" s="14">
        <f>'📋 Product Manager'!E209</f>
        <v/>
      </c>
      <c r="E54" s="68">
        <f>IFERROR(IF('📋 Product Manager'!F209&lt;&gt;"",'📋 Product Manager'!F209,'📋 Product Manager'!G209),"")</f>
        <v/>
      </c>
      <c r="F54" s="69">
        <f>'📋 Product Manager'!G209</f>
        <v/>
      </c>
      <c r="G54" s="13">
        <f>'📋 Product Manager'!H209</f>
        <v/>
      </c>
      <c r="H54" s="68">
        <f>'📋 Product Manager'!I209</f>
        <v/>
      </c>
      <c r="I54" s="68">
        <f>'📋 Product Manager'!J209</f>
        <v/>
      </c>
      <c r="J54" s="70">
        <f>'📋 Product Manager'!K209</f>
        <v/>
      </c>
      <c r="K54" s="42">
        <f>'📋 Product Manager'!L209</f>
        <v/>
      </c>
      <c r="L54" s="71">
        <f>IFERROR(IF('📋 Product Manager'!N209="","",'📋 Product Manager'!N209),"")</f>
        <v/>
      </c>
    </row>
    <row r="55" ht="15" customHeight="1">
      <c r="A55" s="72" t="n">
        <v>38</v>
      </c>
      <c r="B55" s="17">
        <f>'📋 Product Manager'!B210</f>
        <v/>
      </c>
      <c r="C55" s="17">
        <f>'📋 Product Manager'!D210</f>
        <v/>
      </c>
      <c r="D55" s="18">
        <f>'📋 Product Manager'!E210</f>
        <v/>
      </c>
      <c r="E55" s="73">
        <f>IFERROR(IF('📋 Product Manager'!F210&lt;&gt;"",'📋 Product Manager'!F210,'📋 Product Manager'!G210),"")</f>
        <v/>
      </c>
      <c r="F55" s="74">
        <f>'📋 Product Manager'!G210</f>
        <v/>
      </c>
      <c r="G55" s="17">
        <f>'📋 Product Manager'!H210</f>
        <v/>
      </c>
      <c r="H55" s="73">
        <f>'📋 Product Manager'!I210</f>
        <v/>
      </c>
      <c r="I55" s="73">
        <f>'📋 Product Manager'!J210</f>
        <v/>
      </c>
      <c r="J55" s="70">
        <f>'📋 Product Manager'!K210</f>
        <v/>
      </c>
      <c r="K55" s="46">
        <f>'📋 Product Manager'!L210</f>
        <v/>
      </c>
      <c r="L55" s="75">
        <f>IFERROR(IF('📋 Product Manager'!N210="","",'📋 Product Manager'!N210),"")</f>
        <v/>
      </c>
    </row>
    <row r="56" ht="15" customHeight="1">
      <c r="A56" s="67" t="n">
        <v>39</v>
      </c>
      <c r="B56" s="13">
        <f>'📋 Product Manager'!B211</f>
        <v/>
      </c>
      <c r="C56" s="13">
        <f>'📋 Product Manager'!D211</f>
        <v/>
      </c>
      <c r="D56" s="14">
        <f>'📋 Product Manager'!E211</f>
        <v/>
      </c>
      <c r="E56" s="68">
        <f>IFERROR(IF('📋 Product Manager'!F211&lt;&gt;"",'📋 Product Manager'!F211,'📋 Product Manager'!G211),"")</f>
        <v/>
      </c>
      <c r="F56" s="69">
        <f>'📋 Product Manager'!G211</f>
        <v/>
      </c>
      <c r="G56" s="13">
        <f>'📋 Product Manager'!H211</f>
        <v/>
      </c>
      <c r="H56" s="68">
        <f>'📋 Product Manager'!I211</f>
        <v/>
      </c>
      <c r="I56" s="68">
        <f>'📋 Product Manager'!J211</f>
        <v/>
      </c>
      <c r="J56" s="70">
        <f>'📋 Product Manager'!K211</f>
        <v/>
      </c>
      <c r="K56" s="42">
        <f>'📋 Product Manager'!L211</f>
        <v/>
      </c>
      <c r="L56" s="71">
        <f>IFERROR(IF('📋 Product Manager'!N211="","",'📋 Product Manager'!N211),"")</f>
        <v/>
      </c>
    </row>
    <row r="57" ht="15" customHeight="1">
      <c r="A57" s="72" t="n">
        <v>40</v>
      </c>
      <c r="B57" s="17">
        <f>'📋 Product Manager'!B212</f>
        <v/>
      </c>
      <c r="C57" s="17">
        <f>'📋 Product Manager'!D212</f>
        <v/>
      </c>
      <c r="D57" s="18">
        <f>'📋 Product Manager'!E212</f>
        <v/>
      </c>
      <c r="E57" s="73">
        <f>IFERROR(IF('📋 Product Manager'!F212&lt;&gt;"",'📋 Product Manager'!F212,'📋 Product Manager'!G212),"")</f>
        <v/>
      </c>
      <c r="F57" s="74">
        <f>'📋 Product Manager'!G212</f>
        <v/>
      </c>
      <c r="G57" s="17">
        <f>'📋 Product Manager'!H212</f>
        <v/>
      </c>
      <c r="H57" s="73">
        <f>'📋 Product Manager'!I212</f>
        <v/>
      </c>
      <c r="I57" s="73">
        <f>'📋 Product Manager'!J212</f>
        <v/>
      </c>
      <c r="J57" s="70">
        <f>'📋 Product Manager'!K212</f>
        <v/>
      </c>
      <c r="K57" s="46">
        <f>'📋 Product Manager'!L212</f>
        <v/>
      </c>
      <c r="L57" s="75">
        <f>IFERROR(IF('📋 Product Manager'!N212="","",'📋 Product Manager'!N212),"")</f>
        <v/>
      </c>
    </row>
    <row r="58" ht="15" customHeight="1">
      <c r="A58" s="67" t="n">
        <v>41</v>
      </c>
      <c r="B58" s="13">
        <f>'📋 Product Manager'!B213</f>
        <v/>
      </c>
      <c r="C58" s="13">
        <f>'📋 Product Manager'!D213</f>
        <v/>
      </c>
      <c r="D58" s="14">
        <f>'📋 Product Manager'!E213</f>
        <v/>
      </c>
      <c r="E58" s="68">
        <f>IFERROR(IF('📋 Product Manager'!F213&lt;&gt;"",'📋 Product Manager'!F213,'📋 Product Manager'!G213),"")</f>
        <v/>
      </c>
      <c r="F58" s="69">
        <f>'📋 Product Manager'!G213</f>
        <v/>
      </c>
      <c r="G58" s="13">
        <f>'📋 Product Manager'!H213</f>
        <v/>
      </c>
      <c r="H58" s="68">
        <f>'📋 Product Manager'!I213</f>
        <v/>
      </c>
      <c r="I58" s="68">
        <f>'📋 Product Manager'!J213</f>
        <v/>
      </c>
      <c r="J58" s="70">
        <f>'📋 Product Manager'!K213</f>
        <v/>
      </c>
      <c r="K58" s="42">
        <f>'📋 Product Manager'!L213</f>
        <v/>
      </c>
      <c r="L58" s="71">
        <f>IFERROR(IF('📋 Product Manager'!N213="","",'📋 Product Manager'!N213),"")</f>
        <v/>
      </c>
    </row>
    <row r="59" ht="15" customHeight="1">
      <c r="A59" s="72" t="n">
        <v>42</v>
      </c>
      <c r="B59" s="17">
        <f>'📋 Product Manager'!B214</f>
        <v/>
      </c>
      <c r="C59" s="17">
        <f>'📋 Product Manager'!D214</f>
        <v/>
      </c>
      <c r="D59" s="18">
        <f>'📋 Product Manager'!E214</f>
        <v/>
      </c>
      <c r="E59" s="73">
        <f>IFERROR(IF('📋 Product Manager'!F214&lt;&gt;"",'📋 Product Manager'!F214,'📋 Product Manager'!G214),"")</f>
        <v/>
      </c>
      <c r="F59" s="74">
        <f>'📋 Product Manager'!G214</f>
        <v/>
      </c>
      <c r="G59" s="17">
        <f>'📋 Product Manager'!H214</f>
        <v/>
      </c>
      <c r="H59" s="73">
        <f>'📋 Product Manager'!I214</f>
        <v/>
      </c>
      <c r="I59" s="73">
        <f>'📋 Product Manager'!J214</f>
        <v/>
      </c>
      <c r="J59" s="70">
        <f>'📋 Product Manager'!K214</f>
        <v/>
      </c>
      <c r="K59" s="46">
        <f>'📋 Product Manager'!L214</f>
        <v/>
      </c>
      <c r="L59" s="75">
        <f>IFERROR(IF('📋 Product Manager'!N214="","",'📋 Product Manager'!N214),"")</f>
        <v/>
      </c>
    </row>
    <row r="60" ht="16" customHeight="1">
      <c r="A60" s="66">
        <f>IFERROR("  MOC: "&amp;'📋 Product Manager'!D215, "")</f>
        <v/>
      </c>
    </row>
    <row r="61" ht="15" customHeight="1">
      <c r="A61" s="67" t="n">
        <v>43</v>
      </c>
      <c r="B61" s="13">
        <f>'📋 Product Manager'!B215</f>
        <v/>
      </c>
      <c r="C61" s="13">
        <f>'📋 Product Manager'!D215</f>
        <v/>
      </c>
      <c r="D61" s="14">
        <f>'📋 Product Manager'!E215</f>
        <v/>
      </c>
      <c r="E61" s="68">
        <f>IFERROR(IF('📋 Product Manager'!F215&lt;&gt;"",'📋 Product Manager'!F215,'📋 Product Manager'!G215),"")</f>
        <v/>
      </c>
      <c r="F61" s="69">
        <f>'📋 Product Manager'!G215</f>
        <v/>
      </c>
      <c r="G61" s="13">
        <f>'📋 Product Manager'!H215</f>
        <v/>
      </c>
      <c r="H61" s="68">
        <f>'📋 Product Manager'!I215</f>
        <v/>
      </c>
      <c r="I61" s="68">
        <f>'📋 Product Manager'!J215</f>
        <v/>
      </c>
      <c r="J61" s="70">
        <f>'📋 Product Manager'!K215</f>
        <v/>
      </c>
      <c r="K61" s="42">
        <f>'📋 Product Manager'!L215</f>
        <v/>
      </c>
      <c r="L61" s="71">
        <f>IFERROR(IF('📋 Product Manager'!N215="","",'📋 Product Manager'!N215),"")</f>
        <v/>
      </c>
    </row>
    <row r="62" ht="15" customHeight="1">
      <c r="A62" s="72" t="n">
        <v>44</v>
      </c>
      <c r="B62" s="17">
        <f>'📋 Product Manager'!B216</f>
        <v/>
      </c>
      <c r="C62" s="17">
        <f>'📋 Product Manager'!D216</f>
        <v/>
      </c>
      <c r="D62" s="18">
        <f>'📋 Product Manager'!E216</f>
        <v/>
      </c>
      <c r="E62" s="73">
        <f>IFERROR(IF('📋 Product Manager'!F216&lt;&gt;"",'📋 Product Manager'!F216,'📋 Product Manager'!G216),"")</f>
        <v/>
      </c>
      <c r="F62" s="74">
        <f>'📋 Product Manager'!G216</f>
        <v/>
      </c>
      <c r="G62" s="17">
        <f>'📋 Product Manager'!H216</f>
        <v/>
      </c>
      <c r="H62" s="73">
        <f>'📋 Product Manager'!I216</f>
        <v/>
      </c>
      <c r="I62" s="73">
        <f>'📋 Product Manager'!J216</f>
        <v/>
      </c>
      <c r="J62" s="70">
        <f>'📋 Product Manager'!K216</f>
        <v/>
      </c>
      <c r="K62" s="46">
        <f>'📋 Product Manager'!L216</f>
        <v/>
      </c>
      <c r="L62" s="75">
        <f>IFERROR(IF('📋 Product Manager'!N216="","",'📋 Product Manager'!N216),"")</f>
        <v/>
      </c>
    </row>
    <row r="63" ht="15" customHeight="1">
      <c r="A63" s="67" t="n">
        <v>45</v>
      </c>
      <c r="B63" s="13">
        <f>'📋 Product Manager'!B217</f>
        <v/>
      </c>
      <c r="C63" s="13">
        <f>'📋 Product Manager'!D217</f>
        <v/>
      </c>
      <c r="D63" s="14">
        <f>'📋 Product Manager'!E217</f>
        <v/>
      </c>
      <c r="E63" s="68">
        <f>IFERROR(IF('📋 Product Manager'!F217&lt;&gt;"",'📋 Product Manager'!F217,'📋 Product Manager'!G217),"")</f>
        <v/>
      </c>
      <c r="F63" s="69">
        <f>'📋 Product Manager'!G217</f>
        <v/>
      </c>
      <c r="G63" s="13">
        <f>'📋 Product Manager'!H217</f>
        <v/>
      </c>
      <c r="H63" s="68">
        <f>'📋 Product Manager'!I217</f>
        <v/>
      </c>
      <c r="I63" s="68">
        <f>'📋 Product Manager'!J217</f>
        <v/>
      </c>
      <c r="J63" s="70">
        <f>'📋 Product Manager'!K217</f>
        <v/>
      </c>
      <c r="K63" s="42">
        <f>'📋 Product Manager'!L217</f>
        <v/>
      </c>
      <c r="L63" s="71">
        <f>IFERROR(IF('📋 Product Manager'!N217="","",'📋 Product Manager'!N217),"")</f>
        <v/>
      </c>
    </row>
    <row r="64" ht="15" customHeight="1">
      <c r="A64" s="72" t="n">
        <v>46</v>
      </c>
      <c r="B64" s="17">
        <f>'📋 Product Manager'!B218</f>
        <v/>
      </c>
      <c r="C64" s="17">
        <f>'📋 Product Manager'!D218</f>
        <v/>
      </c>
      <c r="D64" s="18">
        <f>'📋 Product Manager'!E218</f>
        <v/>
      </c>
      <c r="E64" s="73">
        <f>IFERROR(IF('📋 Product Manager'!F218&lt;&gt;"",'📋 Product Manager'!F218,'📋 Product Manager'!G218),"")</f>
        <v/>
      </c>
      <c r="F64" s="74">
        <f>'📋 Product Manager'!G218</f>
        <v/>
      </c>
      <c r="G64" s="17">
        <f>'📋 Product Manager'!H218</f>
        <v/>
      </c>
      <c r="H64" s="73">
        <f>'📋 Product Manager'!I218</f>
        <v/>
      </c>
      <c r="I64" s="73">
        <f>'📋 Product Manager'!J218</f>
        <v/>
      </c>
      <c r="J64" s="70">
        <f>'📋 Product Manager'!K218</f>
        <v/>
      </c>
      <c r="K64" s="46">
        <f>'📋 Product Manager'!L218</f>
        <v/>
      </c>
      <c r="L64" s="75">
        <f>IFERROR(IF('📋 Product Manager'!N218="","",'📋 Product Manager'!N218),"")</f>
        <v/>
      </c>
    </row>
    <row r="65" ht="15" customHeight="1">
      <c r="A65" s="67" t="n">
        <v>47</v>
      </c>
      <c r="B65" s="13">
        <f>'📋 Product Manager'!B219</f>
        <v/>
      </c>
      <c r="C65" s="13">
        <f>'📋 Product Manager'!D219</f>
        <v/>
      </c>
      <c r="D65" s="14">
        <f>'📋 Product Manager'!E219</f>
        <v/>
      </c>
      <c r="E65" s="68">
        <f>IFERROR(IF('📋 Product Manager'!F219&lt;&gt;"",'📋 Product Manager'!F219,'📋 Product Manager'!G219),"")</f>
        <v/>
      </c>
      <c r="F65" s="69">
        <f>'📋 Product Manager'!G219</f>
        <v/>
      </c>
      <c r="G65" s="13">
        <f>'📋 Product Manager'!H219</f>
        <v/>
      </c>
      <c r="H65" s="68">
        <f>'📋 Product Manager'!I219</f>
        <v/>
      </c>
      <c r="I65" s="68">
        <f>'📋 Product Manager'!J219</f>
        <v/>
      </c>
      <c r="J65" s="70">
        <f>'📋 Product Manager'!K219</f>
        <v/>
      </c>
      <c r="K65" s="42">
        <f>'📋 Product Manager'!L219</f>
        <v/>
      </c>
      <c r="L65" s="71">
        <f>IFERROR(IF('📋 Product Manager'!N219="","",'📋 Product Manager'!N219),"")</f>
        <v/>
      </c>
    </row>
    <row r="66" ht="15" customHeight="1">
      <c r="A66" s="72" t="n">
        <v>48</v>
      </c>
      <c r="B66" s="17">
        <f>'📋 Product Manager'!B220</f>
        <v/>
      </c>
      <c r="C66" s="17">
        <f>'📋 Product Manager'!D220</f>
        <v/>
      </c>
      <c r="D66" s="18">
        <f>'📋 Product Manager'!E220</f>
        <v/>
      </c>
      <c r="E66" s="73">
        <f>IFERROR(IF('📋 Product Manager'!F220&lt;&gt;"",'📋 Product Manager'!F220,'📋 Product Manager'!G220),"")</f>
        <v/>
      </c>
      <c r="F66" s="74">
        <f>'📋 Product Manager'!G220</f>
        <v/>
      </c>
      <c r="G66" s="17">
        <f>'📋 Product Manager'!H220</f>
        <v/>
      </c>
      <c r="H66" s="73">
        <f>'📋 Product Manager'!I220</f>
        <v/>
      </c>
      <c r="I66" s="73">
        <f>'📋 Product Manager'!J220</f>
        <v/>
      </c>
      <c r="J66" s="70">
        <f>'📋 Product Manager'!K220</f>
        <v/>
      </c>
      <c r="K66" s="46">
        <f>'📋 Product Manager'!L220</f>
        <v/>
      </c>
      <c r="L66" s="75">
        <f>IFERROR(IF('📋 Product Manager'!N220="","",'📋 Product Manager'!N220),"")</f>
        <v/>
      </c>
    </row>
    <row r="67" ht="15" customHeight="1">
      <c r="A67" s="67" t="n">
        <v>49</v>
      </c>
      <c r="B67" s="13">
        <f>'📋 Product Manager'!B221</f>
        <v/>
      </c>
      <c r="C67" s="13">
        <f>'📋 Product Manager'!D221</f>
        <v/>
      </c>
      <c r="D67" s="14">
        <f>'📋 Product Manager'!E221</f>
        <v/>
      </c>
      <c r="E67" s="68">
        <f>IFERROR(IF('📋 Product Manager'!F221&lt;&gt;"",'📋 Product Manager'!F221,'📋 Product Manager'!G221),"")</f>
        <v/>
      </c>
      <c r="F67" s="69">
        <f>'📋 Product Manager'!G221</f>
        <v/>
      </c>
      <c r="G67" s="13">
        <f>'📋 Product Manager'!H221</f>
        <v/>
      </c>
      <c r="H67" s="68">
        <f>'📋 Product Manager'!I221</f>
        <v/>
      </c>
      <c r="I67" s="68">
        <f>'📋 Product Manager'!J221</f>
        <v/>
      </c>
      <c r="J67" s="70">
        <f>'📋 Product Manager'!K221</f>
        <v/>
      </c>
      <c r="K67" s="42">
        <f>'📋 Product Manager'!L221</f>
        <v/>
      </c>
      <c r="L67" s="71">
        <f>IFERROR(IF('📋 Product Manager'!N221="","",'📋 Product Manager'!N221),"")</f>
        <v/>
      </c>
    </row>
    <row r="68" ht="15" customHeight="1">
      <c r="A68" s="72" t="n">
        <v>50</v>
      </c>
      <c r="B68" s="17">
        <f>'📋 Product Manager'!B222</f>
        <v/>
      </c>
      <c r="C68" s="17">
        <f>'📋 Product Manager'!D222</f>
        <v/>
      </c>
      <c r="D68" s="18">
        <f>'📋 Product Manager'!E222</f>
        <v/>
      </c>
      <c r="E68" s="73">
        <f>IFERROR(IF('📋 Product Manager'!F222&lt;&gt;"",'📋 Product Manager'!F222,'📋 Product Manager'!G222),"")</f>
        <v/>
      </c>
      <c r="F68" s="74">
        <f>'📋 Product Manager'!G222</f>
        <v/>
      </c>
      <c r="G68" s="17">
        <f>'📋 Product Manager'!H222</f>
        <v/>
      </c>
      <c r="H68" s="73">
        <f>'📋 Product Manager'!I222</f>
        <v/>
      </c>
      <c r="I68" s="73">
        <f>'📋 Product Manager'!J222</f>
        <v/>
      </c>
      <c r="J68" s="70">
        <f>'📋 Product Manager'!K222</f>
        <v/>
      </c>
      <c r="K68" s="46">
        <f>'📋 Product Manager'!L222</f>
        <v/>
      </c>
      <c r="L68" s="75">
        <f>IFERROR(IF('📋 Product Manager'!N222="","",'📋 Product Manager'!N222),"")</f>
        <v/>
      </c>
    </row>
    <row r="70">
      <c r="A70" s="76" t="inlineStr">
        <is>
          <t>← Back to Product Manager</t>
        </is>
      </c>
      <c r="E70" s="76" t="inlineStr">
        <is>
          <t>← Price Summary</t>
        </is>
      </c>
    </row>
  </sheetData>
  <mergeCells count="18">
    <mergeCell ref="A20:L20"/>
    <mergeCell ref="A30:L30"/>
    <mergeCell ref="A2:L2"/>
    <mergeCell ref="A70:D70"/>
    <mergeCell ref="A29:L29"/>
    <mergeCell ref="A7:L7"/>
    <mergeCell ref="E70:H70"/>
    <mergeCell ref="A60:L60"/>
    <mergeCell ref="A19:L19"/>
    <mergeCell ref="A49:L49"/>
    <mergeCell ref="A51:L51"/>
    <mergeCell ref="A1:L1"/>
    <mergeCell ref="A5:L5"/>
    <mergeCell ref="A31:L31"/>
    <mergeCell ref="A6:L6"/>
    <mergeCell ref="A40:L40"/>
    <mergeCell ref="A18:L18"/>
    <mergeCell ref="A50:L50"/>
  </mergeCells>
  <hyperlinks>
    <hyperlink xmlns:r="http://schemas.openxmlformats.org/officeDocument/2006/relationships" ref="A70" r:id="rId1"/>
    <hyperlink xmlns:r="http://schemas.openxmlformats.org/officeDocument/2006/relationships" ref="E70" r:id="rId2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2026-06-22T13:17:23Z</dcterms:created>
  <dcterms:modified xsi:type="dcterms:W3CDTF">2026-06-22T13:17:24Z</dcterms:modified>
</cp:coreProperties>
</file>